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pivotTables/pivotTable4.xml" ContentType="application/vnd.openxmlformats-officedocument.spreadsheetml.pivotTable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pivotTables/pivotTable5.xml" ContentType="application/vnd.openxmlformats-officedocument.spreadsheetml.pivotTable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PC\Downloads\Assignments_Done\"/>
    </mc:Choice>
  </mc:AlternateContent>
  <xr:revisionPtr revIDLastSave="0" documentId="13_ncr:1_{34BB2C75-C325-4418-9639-4B6BA5B4F7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ject Overview" sheetId="1" r:id="rId1"/>
    <sheet name="Raw_Data" sheetId="2" r:id="rId2"/>
    <sheet name="Data_Audit" sheetId="10" r:id="rId3"/>
    <sheet name="Cleaned_Data" sheetId="3" r:id="rId4"/>
    <sheet name="Question_1" sheetId="5" r:id="rId5"/>
    <sheet name="Question_2" sheetId="6" r:id="rId6"/>
    <sheet name="Question_3" sheetId="7" r:id="rId7"/>
    <sheet name="Question_4" sheetId="8" r:id="rId8"/>
    <sheet name="Question_5" sheetId="11" r:id="rId9"/>
  </sheets>
  <calcPr calcId="191029"/>
  <pivotCaches>
    <pivotCache cacheId="0" r:id="rId10"/>
    <pivotCache cacheId="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10" l="1"/>
  <c r="I2" i="10"/>
  <c r="O3" i="10" s="1"/>
  <c r="O2" i="10"/>
  <c r="K3" i="10"/>
  <c r="K2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J2" i="10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0" i="10"/>
  <c r="J171" i="10"/>
  <c r="J172" i="10"/>
  <c r="J173" i="10"/>
  <c r="J174" i="10"/>
  <c r="J175" i="10"/>
  <c r="J176" i="10"/>
  <c r="J177" i="10"/>
  <c r="J178" i="10"/>
  <c r="J179" i="10"/>
  <c r="J180" i="10"/>
  <c r="J181" i="10"/>
  <c r="J182" i="10"/>
  <c r="J183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J202" i="10"/>
  <c r="J203" i="10"/>
  <c r="J204" i="10"/>
  <c r="J205" i="10"/>
  <c r="J206" i="10"/>
  <c r="J207" i="10"/>
  <c r="J208" i="10"/>
  <c r="J209" i="10"/>
  <c r="J210" i="10"/>
  <c r="J211" i="10"/>
  <c r="J212" i="10"/>
  <c r="J213" i="10"/>
  <c r="J214" i="10"/>
  <c r="J215" i="10"/>
  <c r="J216" i="10"/>
  <c r="J217" i="10"/>
  <c r="J218" i="10"/>
  <c r="J219" i="10"/>
  <c r="J220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J250" i="10"/>
  <c r="J251" i="10"/>
  <c r="J252" i="10"/>
  <c r="J253" i="10"/>
  <c r="J254" i="10"/>
  <c r="J255" i="10"/>
  <c r="J256" i="10"/>
  <c r="J257" i="10"/>
  <c r="J258" i="10"/>
  <c r="J259" i="10"/>
  <c r="J260" i="10"/>
  <c r="J261" i="10"/>
  <c r="J262" i="10"/>
  <c r="J263" i="10"/>
  <c r="J264" i="10"/>
  <c r="J265" i="10"/>
  <c r="J266" i="10"/>
  <c r="J267" i="10"/>
  <c r="J268" i="10"/>
  <c r="J269" i="10"/>
  <c r="J270" i="10"/>
  <c r="J271" i="10"/>
  <c r="J272" i="10"/>
  <c r="J273" i="10"/>
  <c r="J274" i="10"/>
  <c r="J275" i="10"/>
  <c r="J276" i="10"/>
  <c r="J277" i="10"/>
  <c r="J278" i="10"/>
  <c r="J279" i="10"/>
  <c r="J280" i="10"/>
  <c r="J281" i="10"/>
  <c r="J282" i="10"/>
  <c r="J283" i="10"/>
  <c r="J284" i="10"/>
  <c r="J285" i="10"/>
  <c r="J286" i="10"/>
  <c r="J287" i="10"/>
  <c r="J288" i="10"/>
  <c r="J289" i="10"/>
  <c r="J290" i="10"/>
  <c r="J291" i="10"/>
  <c r="J292" i="10"/>
  <c r="J293" i="10"/>
  <c r="J294" i="10"/>
  <c r="J295" i="10"/>
  <c r="J296" i="10"/>
  <c r="J297" i="10"/>
  <c r="J298" i="10"/>
  <c r="J299" i="10"/>
  <c r="J300" i="10"/>
  <c r="J301" i="10"/>
  <c r="J302" i="10"/>
  <c r="J303" i="10"/>
  <c r="J304" i="10"/>
  <c r="J305" i="10"/>
  <c r="J306" i="10"/>
  <c r="J307" i="10"/>
  <c r="J308" i="10"/>
  <c r="J309" i="10"/>
  <c r="J310" i="10"/>
  <c r="J311" i="10"/>
  <c r="J312" i="10"/>
  <c r="J313" i="10"/>
  <c r="J314" i="10"/>
  <c r="J315" i="10"/>
  <c r="J316" i="10"/>
  <c r="J317" i="10"/>
  <c r="J318" i="10"/>
  <c r="J319" i="10"/>
  <c r="J320" i="10"/>
  <c r="J321" i="10"/>
  <c r="J322" i="10"/>
  <c r="J323" i="10"/>
  <c r="J324" i="10"/>
  <c r="J325" i="10"/>
  <c r="J326" i="10"/>
  <c r="J327" i="10"/>
  <c r="J328" i="10"/>
  <c r="J329" i="10"/>
  <c r="J330" i="10"/>
  <c r="J331" i="10"/>
  <c r="J332" i="10"/>
  <c r="J333" i="10"/>
  <c r="J334" i="10"/>
  <c r="J335" i="10"/>
  <c r="J336" i="10"/>
  <c r="J337" i="10"/>
  <c r="J338" i="10"/>
  <c r="J339" i="10"/>
  <c r="J340" i="10"/>
  <c r="J341" i="10"/>
  <c r="J342" i="10"/>
  <c r="J343" i="10"/>
  <c r="J344" i="10"/>
  <c r="J345" i="10"/>
  <c r="J346" i="10"/>
  <c r="J347" i="10"/>
  <c r="J348" i="10"/>
  <c r="J349" i="10"/>
  <c r="J350" i="10"/>
  <c r="J351" i="10"/>
  <c r="J352" i="10"/>
  <c r="J353" i="10"/>
  <c r="J354" i="10"/>
  <c r="J355" i="10"/>
  <c r="J356" i="10"/>
  <c r="J357" i="10"/>
  <c r="J358" i="10"/>
  <c r="J359" i="10"/>
  <c r="J360" i="10"/>
  <c r="J361" i="10"/>
  <c r="J362" i="10"/>
  <c r="J363" i="10"/>
  <c r="J364" i="10"/>
  <c r="J365" i="10"/>
  <c r="J366" i="10"/>
  <c r="J367" i="10"/>
  <c r="J368" i="10"/>
  <c r="J369" i="10"/>
  <c r="J370" i="10"/>
  <c r="J371" i="10"/>
  <c r="J372" i="10"/>
  <c r="J373" i="10"/>
  <c r="J374" i="10"/>
  <c r="J375" i="10"/>
  <c r="J376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I307" i="10"/>
  <c r="I308" i="10"/>
  <c r="I309" i="10"/>
  <c r="I310" i="10"/>
  <c r="I311" i="10"/>
  <c r="I312" i="10"/>
  <c r="I313" i="10"/>
  <c r="I314" i="10"/>
  <c r="I315" i="10"/>
  <c r="I316" i="10"/>
  <c r="I317" i="10"/>
  <c r="I318" i="10"/>
  <c r="I319" i="10"/>
  <c r="I320" i="10"/>
  <c r="I321" i="10"/>
  <c r="I322" i="10"/>
  <c r="I323" i="10"/>
  <c r="I324" i="10"/>
  <c r="I325" i="10"/>
  <c r="I326" i="10"/>
  <c r="I327" i="10"/>
  <c r="I328" i="10"/>
  <c r="I329" i="10"/>
  <c r="I330" i="10"/>
  <c r="I331" i="10"/>
  <c r="I332" i="10"/>
  <c r="I333" i="10"/>
  <c r="I334" i="10"/>
  <c r="I335" i="10"/>
  <c r="I336" i="10"/>
  <c r="I337" i="10"/>
  <c r="I338" i="10"/>
  <c r="I339" i="10"/>
  <c r="I340" i="10"/>
  <c r="I341" i="10"/>
  <c r="I342" i="10"/>
  <c r="I343" i="10"/>
  <c r="I344" i="10"/>
  <c r="I345" i="10"/>
  <c r="I346" i="10"/>
  <c r="I347" i="10"/>
  <c r="I348" i="10"/>
  <c r="I349" i="10"/>
  <c r="I350" i="10"/>
  <c r="I351" i="10"/>
  <c r="I352" i="10"/>
  <c r="I353" i="10"/>
  <c r="I354" i="10"/>
  <c r="I355" i="10"/>
  <c r="I356" i="10"/>
  <c r="I357" i="10"/>
  <c r="I358" i="10"/>
  <c r="I359" i="10"/>
  <c r="I360" i="10"/>
  <c r="I361" i="10"/>
  <c r="I362" i="10"/>
  <c r="I363" i="10"/>
  <c r="I364" i="10"/>
  <c r="I365" i="10"/>
  <c r="I366" i="10"/>
  <c r="I367" i="10"/>
  <c r="I368" i="10"/>
  <c r="I369" i="10"/>
  <c r="I370" i="10"/>
  <c r="I371" i="10"/>
  <c r="I372" i="10"/>
  <c r="I373" i="10"/>
  <c r="I374" i="10"/>
  <c r="I375" i="10"/>
  <c r="I376" i="10"/>
</calcChain>
</file>

<file path=xl/sharedStrings.xml><?xml version="1.0" encoding="utf-8"?>
<sst xmlns="http://schemas.openxmlformats.org/spreadsheetml/2006/main" count="6849" uniqueCount="445">
  <si>
    <t>You’ve been hired by an online learning platform to help analyze student behavior.</t>
  </si>
  <si>
    <t>Use Pivot Tables to explore engagement, revenue, and sign-up performance.</t>
  </si>
  <si>
    <t>Student ID</t>
  </si>
  <si>
    <t>Region</t>
  </si>
  <si>
    <t>Course Name</t>
  </si>
  <si>
    <t>Subscription Type</t>
  </si>
  <si>
    <t>Signup Channel</t>
  </si>
  <si>
    <t>Age Group</t>
  </si>
  <si>
    <t>Monthly Payment ($)</t>
  </si>
  <si>
    <t>Videos Watched (Month)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</si>
  <si>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</si>
  <si>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</si>
  <si>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</si>
  <si>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</si>
  <si>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</si>
  <si>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</si>
  <si>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</si>
  <si>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</si>
  <si>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</si>
  <si>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</si>
  <si>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</si>
  <si>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</si>
  <si>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</si>
  <si>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</si>
  <si>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</si>
  <si>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</si>
  <si>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</si>
  <si>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</si>
  <si>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</si>
  <si>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</si>
  <si>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</si>
  <si>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</si>
  <si>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</si>
  <si>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</si>
  <si>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</si>
  <si>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</si>
  <si>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</si>
  <si>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</si>
  <si>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</si>
  <si>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</si>
  <si>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</si>
  <si>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</si>
  <si>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</si>
  <si>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</si>
  <si>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</si>
  <si>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</si>
  <si>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</si>
  <si>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</si>
  <si>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</si>
  <si>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</si>
  <si>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</si>
  <si>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</si>
  <si>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</si>
  <si>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</si>
  <si>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</si>
  <si>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</si>
  <si>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</si>
  <si>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</si>
  <si>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</si>
  <si>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</si>
  <si>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</si>
  <si>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</si>
  <si>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</si>
  <si>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</si>
  <si>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</si>
  <si>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</si>
  <si>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</si>
  <si>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</si>
  <si>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</si>
  <si>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</si>
  <si>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</si>
  <si>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</si>
  <si>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</si>
  <si>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</si>
  <si>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</si>
  <si>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</si>
  <si>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</si>
  <si>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</si>
  <si>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</si>
  <si>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</si>
  <si>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</si>
  <si>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</si>
  <si>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</si>
  <si>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</si>
  <si>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</si>
  <si>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</si>
  <si>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</si>
  <si>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</si>
  <si>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</si>
  <si>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</si>
  <si>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</si>
  <si>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</si>
  <si>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</si>
  <si>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</si>
  <si>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</si>
  <si>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</si>
  <si>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</si>
  <si>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</si>
  <si>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</si>
  <si>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</si>
  <si>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</si>
  <si>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</si>
  <si>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</si>
  <si>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</si>
  <si>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</si>
  <si>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</si>
  <si>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</si>
  <si>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</si>
  <si>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</si>
  <si>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</si>
  <si>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</si>
  <si>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</si>
  <si>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</si>
  <si>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</si>
  <si>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</si>
  <si>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</si>
  <si>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</si>
  <si>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</si>
  <si>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</si>
  <si>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</si>
  <si>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</si>
  <si>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</si>
  <si>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</si>
  <si>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</si>
  <si>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</si>
  <si>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</si>
  <si>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</si>
  <si>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</si>
  <si>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</si>
  <si>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</si>
  <si>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</si>
  <si>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</si>
  <si>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</si>
  <si>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</si>
  <si>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</si>
  <si>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</si>
  <si>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</si>
  <si>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</si>
  <si>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</si>
  <si>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</si>
  <si>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</si>
  <si>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</si>
  <si>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</si>
  <si>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</si>
  <si>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</si>
  <si>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</si>
  <si>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</si>
  <si>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</si>
  <si>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</si>
  <si>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</si>
  <si>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</si>
  <si>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</si>
  <si>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</si>
  <si>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</si>
  <si>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</si>
  <si>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</si>
  <si>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</si>
  <si>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</si>
  <si>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</si>
  <si>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</si>
  <si>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</si>
  <si>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</si>
  <si>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</si>
  <si>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</si>
  <si>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</si>
  <si>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</si>
  <si>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</si>
  <si>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</si>
  <si>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</si>
  <si>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</si>
  <si>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</si>
  <si>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</si>
  <si>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</si>
  <si>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</si>
  <si>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</si>
  <si>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</si>
  <si>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</si>
  <si>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</si>
  <si>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</si>
  <si>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</si>
  <si>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</si>
  <si>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</si>
  <si>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</si>
  <si>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</si>
  <si>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</si>
  <si>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</si>
  <si>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</si>
  <si>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</si>
  <si>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</si>
  <si>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</si>
  <si>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</si>
  <si>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</si>
  <si>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</si>
  <si>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</si>
  <si>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</si>
  <si>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</si>
  <si>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</si>
  <si>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</si>
  <si>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</si>
  <si>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</si>
  <si>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</si>
  <si>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</si>
  <si>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</si>
  <si>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</si>
  <si>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</si>
  <si>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</si>
  <si>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</si>
  <si>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</si>
  <si>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</si>
  <si>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</si>
  <si>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</si>
  <si>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</si>
  <si>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</si>
  <si>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</si>
  <si>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</si>
  <si>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</si>
  <si>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</si>
  <si>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</si>
  <si>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</si>
  <si>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</si>
  <si>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</si>
  <si>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</si>
  <si>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</si>
  <si>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</si>
  <si>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</si>
  <si>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</si>
  <si>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</si>
  <si>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</si>
  <si>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</si>
  <si>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</si>
  <si>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</si>
  <si>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</si>
  <si>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</si>
  <si>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</si>
  <si>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</si>
  <si>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</si>
  <si>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</si>
  <si>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</si>
  <si>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</si>
  <si>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</si>
  <si>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</si>
  <si>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</si>
  <si>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</si>
  <si>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</si>
  <si>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</si>
  <si>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</si>
  <si>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</si>
  <si>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</si>
  <si>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</si>
  <si>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</si>
  <si>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</si>
  <si>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</si>
  <si>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</si>
  <si>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</si>
  <si>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</si>
  <si>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</si>
  <si>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</si>
  <si>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</si>
  <si>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</si>
  <si>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</si>
  <si>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</si>
  <si>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</si>
  <si>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</si>
  <si>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</si>
  <si>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</si>
  <si>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</si>
  <si>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</si>
  <si>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</si>
  <si>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</si>
  <si>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</si>
  <si>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</si>
  <si>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</si>
  <si>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</si>
  <si>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</si>
  <si>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</si>
  <si>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</si>
  <si>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</si>
  <si>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</si>
  <si>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</si>
  <si>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</si>
  <si>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</si>
  <si>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</si>
  <si>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</si>
  <si>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</si>
  <si>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</si>
  <si>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</si>
  <si>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</si>
  <si>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</si>
  <si>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</si>
  <si>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</si>
  <si>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</si>
  <si>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</si>
  <si>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</si>
  <si>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</si>
  <si>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</si>
  <si>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</si>
  <si>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</si>
  <si>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</si>
  <si>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</si>
  <si>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</si>
  <si>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</si>
  <si>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</si>
  <si>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</si>
  <si>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</si>
  <si>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</si>
  <si>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</si>
  <si>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</si>
  <si>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</si>
  <si>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</si>
  <si>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</si>
  <si>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</si>
  <si>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</si>
  <si>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</si>
  <si>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</si>
  <si>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</si>
  <si>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</si>
  <si>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</si>
  <si>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</si>
  <si>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</si>
  <si>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</si>
  <si>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</si>
  <si>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</si>
  <si>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</si>
  <si>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</si>
  <si>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</si>
  <si>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</si>
  <si>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</si>
  <si>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</si>
  <si>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</si>
  <si>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</si>
  <si>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</si>
  <si>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</si>
  <si>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</si>
  <si>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</si>
  <si>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</si>
  <si>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</si>
  <si>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</si>
  <si>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</si>
  <si>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</si>
  <si>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</si>
  <si>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</si>
  <si>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</si>
  <si>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</si>
  <si>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</si>
  <si>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</si>
  <si>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</si>
  <si>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</si>
  <si>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</si>
  <si>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</si>
  <si>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</si>
  <si>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</si>
  <si>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</si>
  <si>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</si>
  <si>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</si>
  <si>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</si>
  <si>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</si>
  <si>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</si>
  <si>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</si>
  <si>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</si>
  <si>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</si>
  <si>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</si>
  <si>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</si>
  <si>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</si>
  <si>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</si>
  <si>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</si>
  <si>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</si>
  <si>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</si>
  <si>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</si>
  <si>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</si>
  <si>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</si>
  <si>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</si>
  <si>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</si>
  <si>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</si>
  <si>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</si>
  <si>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</si>
  <si>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</si>
  <si>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</si>
  <si>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</si>
  <si>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</si>
  <si>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</si>
  <si>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</si>
  <si>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</si>
  <si>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</si>
  <si>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</si>
  <si>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</si>
  <si>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Asia</t>
  </si>
  <si>
    <t>South America</t>
  </si>
  <si>
    <t>Africa</t>
  </si>
  <si>
    <t>Europe</t>
  </si>
  <si>
    <t>North America</t>
  </si>
  <si>
    <t>Python Basics</t>
  </si>
  <si>
    <t>AI Essentials</t>
  </si>
  <si>
    <t>Excel for Beginners</t>
  </si>
  <si>
    <t>Data Visualization</t>
  </si>
  <si>
    <t>SQL Mastery</t>
  </si>
  <si>
    <t>Standard</t>
  </si>
  <si>
    <t>Pro</t>
  </si>
  <si>
    <t>Free</t>
  </si>
  <si>
    <t>Ads</t>
  </si>
  <si>
    <t>Referral</t>
  </si>
  <si>
    <t>Email Campaign</t>
  </si>
  <si>
    <t>Organic</t>
  </si>
  <si>
    <t>25-34</t>
  </si>
  <si>
    <t>18-24</t>
  </si>
  <si>
    <t>55+</t>
  </si>
  <si>
    <t>45-54</t>
  </si>
  <si>
    <t>35-44</t>
  </si>
  <si>
    <t>Row Labels</t>
  </si>
  <si>
    <t>Grand Total</t>
  </si>
  <si>
    <t>Sum of Monthly Payment ($)</t>
  </si>
  <si>
    <t>Count of Student ID</t>
  </si>
  <si>
    <t>What is the most Popular Subscription Type?</t>
  </si>
  <si>
    <t>What's the revenue by Region?</t>
  </si>
  <si>
    <t>Sum of Videos Watched (Month)</t>
  </si>
  <si>
    <t>What's the Most Common Signup Channel?</t>
  </si>
  <si>
    <t>What's the most Engaged Age Group?</t>
  </si>
  <si>
    <t>Column Labels</t>
  </si>
  <si>
    <t>Duplicate Info</t>
  </si>
  <si>
    <t>Range Validation</t>
  </si>
  <si>
    <t>Missing Info</t>
  </si>
  <si>
    <t>Rows</t>
  </si>
  <si>
    <t>Duplicates</t>
  </si>
  <si>
    <t>Missing values</t>
  </si>
  <si>
    <t>Data types</t>
  </si>
  <si>
    <t>Outliers</t>
  </si>
  <si>
    <t>Correct</t>
  </si>
  <si>
    <t>None flagged</t>
  </si>
  <si>
    <t>Task 5: Where are Pro Students Enrolled?</t>
  </si>
  <si>
    <t>Project Overview</t>
  </si>
  <si>
    <r>
      <t xml:space="preserve">📘 </t>
    </r>
    <r>
      <rPr>
        <b/>
        <sz val="11"/>
        <color theme="1"/>
        <rFont val="Calibri"/>
        <family val="2"/>
        <scheme val="minor"/>
      </rPr>
      <t>Goal</t>
    </r>
    <r>
      <rPr>
        <sz val="11"/>
        <color theme="1"/>
        <rFont val="Calibri"/>
        <family val="2"/>
        <scheme val="minor"/>
      </rPr>
      <t xml:space="preserve"> – Pivot Tables (Online Course Enrollment Tracker)</t>
    </r>
  </si>
  <si>
    <t>Dataset:</t>
  </si>
  <si>
    <t>Tools Used</t>
  </si>
  <si>
    <t>• Excel formulas</t>
  </si>
  <si>
    <t>• Pivot Tables</t>
  </si>
  <si>
    <t>• Data filtering</t>
  </si>
  <si>
    <t>• Basic data cleaning</t>
  </si>
  <si>
    <t>Tasks Performed</t>
  </si>
  <si>
    <t>• audited the dataset for missing values</t>
  </si>
  <si>
    <t>• checked duplicate records</t>
  </si>
  <si>
    <t>• reviewed inconsistent entries</t>
  </si>
  <si>
    <t>• cleaned incorrect values</t>
  </si>
  <si>
    <t>• prepared the dataset for analysis</t>
  </si>
  <si>
    <t>The dataset contains student enrollment records with fields such as course, enrollment status, and other attributes.</t>
  </si>
  <si>
    <t>Project Goal</t>
  </si>
  <si>
    <t>Audit and clean an enrollment dataset in Excel. Identify data quality issues. Prepare clean data for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</si>
</sst>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5" fillId="4" borderId="2" applyNumberFormat="0" applyAlignment="0" applyProtection="0"/>
    <xf numFmtId="0" fontId="4" fillId="5" borderId="3" applyNumberFormat="0" applyFont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2" fillId="2" borderId="0" xfId="0" applyFont="1" applyFill="1"/>
    <xf numFmtId="0" fontId="3" fillId="3" borderId="0" xfId="0" applyFont="1" applyFill="1"/>
    <xf numFmtId="0" fontId="1" fillId="0" borderId="4" xfId="0" applyFont="1" applyBorder="1" applyAlignment="1">
      <alignment horizontal="center" vertical="top"/>
    </xf>
    <xf numFmtId="49" fontId="1" fillId="0" borderId="4" xfId="0" applyNumberFormat="1" applyFont="1" applyBorder="1" applyAlignment="1">
      <alignment horizontal="center" vertical="top"/>
    </xf>
    <xf numFmtId="49" fontId="0" fillId="0" borderId="0" xfId="0" applyNumberFormat="1"/>
    <xf numFmtId="2" fontId="1" fillId="0" borderId="4" xfId="0" applyNumberFormat="1" applyFont="1" applyBorder="1" applyAlignment="1">
      <alignment horizontal="center" vertical="top"/>
    </xf>
    <xf numFmtId="2" fontId="0" fillId="0" borderId="0" xfId="0" applyNumberFormat="1"/>
    <xf numFmtId="164" fontId="1" fillId="0" borderId="4" xfId="0" applyNumberFormat="1" applyFont="1" applyBorder="1" applyAlignment="1">
      <alignment horizontal="center" vertical="top"/>
    </xf>
    <xf numFmtId="164" fontId="0" fillId="0" borderId="0" xfId="0" applyNumberFormat="1"/>
    <xf numFmtId="0" fontId="0" fillId="6" borderId="3" xfId="2" applyFont="1" applyFill="1"/>
    <xf numFmtId="0" fontId="4" fillId="7" borderId="2" xfId="1" applyFont="1" applyFill="1"/>
    <xf numFmtId="1" fontId="1" fillId="0" borderId="4" xfId="0" applyNumberFormat="1" applyFont="1" applyBorder="1" applyAlignment="1">
      <alignment horizontal="center" vertical="top"/>
    </xf>
    <xf numFmtId="1" fontId="0" fillId="0" borderId="0" xfId="0" applyNumberFormat="1"/>
    <xf numFmtId="0" fontId="0" fillId="3" borderId="0" xfId="0" applyFill="1"/>
    <xf numFmtId="0" fontId="1" fillId="0" borderId="0" xfId="0" applyFont="1"/>
    <xf numFmtId="0" fontId="6" fillId="0" borderId="5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</cellXfs>
  <cellStyles count="3">
    <cellStyle name="Input" xfId="1" builtinId="20"/>
    <cellStyle name="Normal" xfId="0" builtinId="0"/>
    <cellStyle name="Note" xfId="2" builtinId="1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color theme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color theme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numFmt numFmtId="1" formatCode="0"/>
    </dxf>
    <dxf>
      <numFmt numFmtId="1" formatCode="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64" formatCode="[$$-409]#,##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[Day11_Practice_Challenge.xlsx]Question_1!PivotTable1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0423425196850395"/>
          <c:y val="0.28282407407407412"/>
          <c:w val="0.7537657480314961"/>
          <c:h val="0.6745913531641877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Question_1!$B$3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B447-4665-BF67-F1A70C6BED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Question_1!$A$4:$A$9</c:f>
              <c:strCache>
                <c:ptCount val="5"/>
                <c:pt idx="0">
                  <c:v>Africa</c:v>
                </c:pt>
                <c:pt idx="1">
                  <c:v>North America</c:v>
                </c:pt>
                <c:pt idx="2">
                  <c:v>South America</c:v>
                </c:pt>
                <c:pt idx="3">
                  <c:v>Asia</c:v>
                </c:pt>
                <c:pt idx="4">
                  <c:v>Europe</c:v>
                </c:pt>
              </c:strCache>
            </c:strRef>
          </c:cat>
          <c:val>
            <c:numRef>
              <c:f>Question_1!$B$4:$B$9</c:f>
              <c:numCache>
                <c:formatCode>General</c:formatCode>
                <c:ptCount val="5"/>
                <c:pt idx="0">
                  <c:v>2070</c:v>
                </c:pt>
                <c:pt idx="1">
                  <c:v>1950</c:v>
                </c:pt>
                <c:pt idx="2">
                  <c:v>1810</c:v>
                </c:pt>
                <c:pt idx="3">
                  <c:v>1530</c:v>
                </c:pt>
                <c:pt idx="4">
                  <c:v>1260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E6-4DBE-8146-A75EDF7E2E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43852511"/>
        <c:axId val="743850591"/>
      </c:barChart>
      <c:catAx>
        <c:axId val="743852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850591"/>
        <c:crosses val="autoZero"/>
        <c:auto val="1"/>
        <c:lblAlgn val="ctr"/>
        <c:lblOffset val="100"/>
        <c:noMultiLvlLbl val="0"/>
      </c:catAx>
      <c:valAx>
        <c:axId val="7438505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43852511"/>
        <c:crosses val="autoZero"/>
        <c:crossBetween val="between"/>
      </c:valAx>
      <c:spPr>
        <a:noFill/>
        <a:ln>
          <a:noFill/>
        </a:ln>
        <a:effectLst>
          <a:softEdge rad="0"/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[Day11_Practice_Challenge.xlsx]Question_2!PivotTable2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Popular</a:t>
            </a:r>
            <a:r>
              <a:rPr lang="en-US" baseline="0"/>
              <a:t> Subscripton Types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3.0555555555555555E-2"/>
          <c:y val="0.25504629629629627"/>
          <c:w val="0.93888888888888888"/>
          <c:h val="0.637554316127150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Question_2!$B$3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EE6E-4C83-8CD4-CD36DF154E3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Question_2!$A$4:$A$7</c:f>
              <c:strCache>
                <c:ptCount val="3"/>
                <c:pt idx="0">
                  <c:v>Standard</c:v>
                </c:pt>
                <c:pt idx="1">
                  <c:v>Free</c:v>
                </c:pt>
                <c:pt idx="2">
                  <c:v>Pro</c:v>
                </c:pt>
              </c:strCache>
            </c:strRef>
          </c:cat>
          <c:val>
            <c:numRef>
              <c:f>Question_2!$B$4:$B$7</c:f>
              <c:numCache>
                <c:formatCode>General</c:formatCode>
                <c:ptCount val="3"/>
                <c:pt idx="0">
                  <c:v>131</c:v>
                </c:pt>
                <c:pt idx="1">
                  <c:v>124</c:v>
                </c:pt>
                <c:pt idx="2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D1-4241-A808-06A1805639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43862111"/>
        <c:axId val="743856351"/>
      </c:barChart>
      <c:catAx>
        <c:axId val="74386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856351"/>
        <c:crosses val="autoZero"/>
        <c:auto val="1"/>
        <c:lblAlgn val="ctr"/>
        <c:lblOffset val="100"/>
        <c:noMultiLvlLbl val="0"/>
      </c:catAx>
      <c:valAx>
        <c:axId val="74385635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43862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[Day11_Practice_Challenge.xlsx]Question_3!PivotTable3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Common Signup Channels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Question_3!$B$3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D7E1-4569-A64E-B5258E5C1C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Question_3!$A$4:$A$8</c:f>
              <c:strCache>
                <c:ptCount val="4"/>
                <c:pt idx="0">
                  <c:v>Organic</c:v>
                </c:pt>
                <c:pt idx="1">
                  <c:v>Email Campaign</c:v>
                </c:pt>
                <c:pt idx="2">
                  <c:v>Referral</c:v>
                </c:pt>
                <c:pt idx="3">
                  <c:v>Ads</c:v>
                </c:pt>
              </c:strCache>
            </c:strRef>
          </c:cat>
          <c:val>
            <c:numRef>
              <c:f>Question_3!$B$4:$B$8</c:f>
              <c:numCache>
                <c:formatCode>General</c:formatCode>
                <c:ptCount val="4"/>
                <c:pt idx="0">
                  <c:v>109</c:v>
                </c:pt>
                <c:pt idx="1">
                  <c:v>90</c:v>
                </c:pt>
                <c:pt idx="2">
                  <c:v>88</c:v>
                </c:pt>
                <c:pt idx="3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69-49A3-AEAF-70B7D04290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43859231"/>
        <c:axId val="743860191"/>
      </c:barChart>
      <c:catAx>
        <c:axId val="74385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860191"/>
        <c:crosses val="autoZero"/>
        <c:auto val="1"/>
        <c:lblAlgn val="ctr"/>
        <c:lblOffset val="100"/>
        <c:noMultiLvlLbl val="0"/>
      </c:catAx>
      <c:valAx>
        <c:axId val="74386019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43859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[Day11_Practice_Challenge.xlsx]Question_4!PivotTable4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Most Engaged Age Groups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498840769903759"/>
          <c:y val="0.26791447944006996"/>
          <c:w val="0.73196303587051614"/>
          <c:h val="0.53774387576552929"/>
        </c:manualLayout>
      </c:layout>
      <c:areaChart>
        <c:grouping val="standard"/>
        <c:varyColors val="0"/>
        <c:ser>
          <c:idx val="0"/>
          <c:order val="0"/>
          <c:tx>
            <c:strRef>
              <c:f>Question_4!$B$3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Question_4!$A$4:$A$9</c:f>
              <c:strCache>
                <c:ptCount val="5"/>
                <c:pt idx="0">
                  <c:v>35-44</c:v>
                </c:pt>
                <c:pt idx="1">
                  <c:v>45-54</c:v>
                </c:pt>
                <c:pt idx="2">
                  <c:v>18-24</c:v>
                </c:pt>
                <c:pt idx="3">
                  <c:v>55+</c:v>
                </c:pt>
                <c:pt idx="4">
                  <c:v>25-34</c:v>
                </c:pt>
              </c:strCache>
            </c:strRef>
          </c:cat>
          <c:val>
            <c:numRef>
              <c:f>Question_4!$B$4:$B$9</c:f>
              <c:numCache>
                <c:formatCode>General</c:formatCode>
                <c:ptCount val="5"/>
                <c:pt idx="0">
                  <c:v>977</c:v>
                </c:pt>
                <c:pt idx="1">
                  <c:v>805</c:v>
                </c:pt>
                <c:pt idx="2">
                  <c:v>765</c:v>
                </c:pt>
                <c:pt idx="3">
                  <c:v>644</c:v>
                </c:pt>
                <c:pt idx="4">
                  <c:v>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ED-4322-8E27-29DEED756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788463"/>
        <c:axId val="745777903"/>
      </c:areaChart>
      <c:catAx>
        <c:axId val="7457884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777903"/>
        <c:crosses val="autoZero"/>
        <c:auto val="1"/>
        <c:lblAlgn val="ctr"/>
        <c:lblOffset val="100"/>
        <c:noMultiLvlLbl val="0"/>
      </c:catAx>
      <c:valAx>
        <c:axId val="74577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788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[Day11_Practice_Challenge.xlsx]Question_5!PivotTable12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</a:t>
            </a:r>
            <a:r>
              <a:rPr lang="en-US" baseline="0"/>
              <a:t> Students Enrolled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3463757655293088"/>
          <c:y val="0.26893518518518517"/>
          <c:w val="0.63919138232720907"/>
          <c:h val="0.6801388888888888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Question_5!$B$3:$B$4</c:f>
              <c:strCache>
                <c:ptCount val="1"/>
                <c:pt idx="0">
                  <c:v>Pro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4D2-4301-86EF-0EF0DA5EF5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Question_5!$A$5:$A$11</c:f>
              <c:strCache>
                <c:ptCount val="6"/>
                <c:pt idx="0">
                  <c:v>Asia</c:v>
                </c:pt>
                <c:pt idx="1">
                  <c:v>SQL Mastery</c:v>
                </c:pt>
                <c:pt idx="2">
                  <c:v>AI Essentials</c:v>
                </c:pt>
                <c:pt idx="3">
                  <c:v>Excel for Beginners</c:v>
                </c:pt>
                <c:pt idx="4">
                  <c:v>Data Visualization</c:v>
                </c:pt>
                <c:pt idx="5">
                  <c:v>Python Basics</c:v>
                </c:pt>
              </c:strCache>
            </c:strRef>
          </c:cat>
          <c:val>
            <c:numRef>
              <c:f>Question_5!$B$5:$B$11</c:f>
              <c:numCache>
                <c:formatCode>General</c:formatCode>
                <c:ptCount val="6"/>
                <c:pt idx="0">
                  <c:v>1</c:v>
                </c:pt>
                <c:pt idx="1">
                  <c:v>18</c:v>
                </c:pt>
                <c:pt idx="2">
                  <c:v>24</c:v>
                </c:pt>
                <c:pt idx="3">
                  <c:v>24</c:v>
                </c:pt>
                <c:pt idx="4">
                  <c:v>26</c:v>
                </c:pt>
                <c:pt idx="5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D2-4301-86EF-0EF0DA5EF5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9065471"/>
        <c:axId val="439059231"/>
      </c:barChart>
      <c:catAx>
        <c:axId val="439065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059231"/>
        <c:crosses val="autoZero"/>
        <c:auto val="1"/>
        <c:lblAlgn val="ctr"/>
        <c:lblOffset val="100"/>
        <c:noMultiLvlLbl val="0"/>
      </c:catAx>
      <c:valAx>
        <c:axId val="4390592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39065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450850</xdr:colOff>
      <xdr:row>1</xdr:row>
      <xdr:rowOff>177800</xdr:rowOff>
    </xdr:from>
    <xdr:to>
      <xdr:col>10</xdr:col>
      <xdr:colOff>146050</xdr:colOff>
      <xdr:row>16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960A87-5072-8D7C-6788-BE6D0670D1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0.18889</cdr:x>
      <cdr:y>0.12037</cdr:y>
    </cdr:from>
    <cdr:to>
      <cdr:x>0.86944</cdr:x>
      <cdr:y>0.21991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E730285-2C83-1FFF-292E-46444E9B8412}"/>
            </a:ext>
          </a:extLst>
        </cdr:cNvPr>
        <cdr:cNvSpPr txBox="1"/>
      </cdr:nvSpPr>
      <cdr:spPr>
        <a:xfrm xmlns:a="http://schemas.openxmlformats.org/drawingml/2006/main">
          <a:off x="863600" y="330200"/>
          <a:ext cx="3111500" cy="2730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0.22917</cdr:x>
      <cdr:y>0.12037</cdr:y>
    </cdr:from>
    <cdr:to>
      <cdr:x>0.89722</cdr:x>
      <cdr:y>0.21991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84CCB1AF-6E22-E294-9B8E-8EFB680D4255}"/>
            </a:ext>
          </a:extLst>
        </cdr:cNvPr>
        <cdr:cNvSpPr txBox="1"/>
      </cdr:nvSpPr>
      <cdr:spPr>
        <a:xfrm xmlns:a="http://schemas.openxmlformats.org/drawingml/2006/main">
          <a:off x="1047750" y="330200"/>
          <a:ext cx="3054350" cy="2730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/>
            <a:t>Africa has the highest Revenue by Region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520700</xdr:colOff>
      <xdr:row>2</xdr:row>
      <xdr:rowOff>6350</xdr:rowOff>
    </xdr:from>
    <xdr:to>
      <xdr:col>10</xdr:col>
      <xdr:colOff>215900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EE3152-1401-C3E7-6A8A-2ED31D71AA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0.19306</cdr:x>
      <cdr:y>0.125</cdr:y>
    </cdr:from>
    <cdr:to>
      <cdr:x>0.88611</cdr:x>
      <cdr:y>0.19213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F6FC874-A8AD-04EF-5B30-0189BC3A7205}"/>
            </a:ext>
          </a:extLst>
        </cdr:cNvPr>
        <cdr:cNvSpPr txBox="1"/>
      </cdr:nvSpPr>
      <cdr:spPr>
        <a:xfrm xmlns:a="http://schemas.openxmlformats.org/drawingml/2006/main">
          <a:off x="882650" y="342900"/>
          <a:ext cx="3168650" cy="1841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1100" kern="1200"/>
            <a:t>Standard is the most popular subsciption type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552450</xdr:colOff>
      <xdr:row>1</xdr:row>
      <xdr:rowOff>146050</xdr:rowOff>
    </xdr:from>
    <xdr:to>
      <xdr:col>10</xdr:col>
      <xdr:colOff>247650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850DB6-CF78-2ACD-AD73-864869572F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0.29722</cdr:x>
      <cdr:y>0.125</cdr:y>
    </cdr:from>
    <cdr:to>
      <cdr:x>0.72917</cdr:x>
      <cdr:y>0.20602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05FF492-98C3-C371-1936-F056C845BB82}"/>
            </a:ext>
          </a:extLst>
        </cdr:cNvPr>
        <cdr:cNvSpPr txBox="1"/>
      </cdr:nvSpPr>
      <cdr:spPr>
        <a:xfrm xmlns:a="http://schemas.openxmlformats.org/drawingml/2006/main">
          <a:off x="1358900" y="342900"/>
          <a:ext cx="1974850" cy="222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n-US" sz="1100" kern="1200"/>
            <a:t>Organic is the most Common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1</xdr:row>
      <xdr:rowOff>177800</xdr:rowOff>
    </xdr:from>
    <xdr:to>
      <xdr:col>9</xdr:col>
      <xdr:colOff>298450</xdr:colOff>
      <xdr:row>15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719A59-5975-3963-D7BC-68BB65019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0.31306</cdr:x>
      <cdr:y>0.1292</cdr:y>
    </cdr:from>
    <cdr:to>
      <cdr:x>0.95994</cdr:x>
      <cdr:y>0.21964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82132C0-27F1-D0AE-C711-F7A2581268C0}"/>
            </a:ext>
          </a:extLst>
        </cdr:cNvPr>
        <cdr:cNvSpPr txBox="1"/>
      </cdr:nvSpPr>
      <cdr:spPr>
        <a:xfrm xmlns:a="http://schemas.openxmlformats.org/drawingml/2006/main">
          <a:off x="1339850" y="317500"/>
          <a:ext cx="2768600" cy="222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baseline="0">
              <a:effectLst/>
              <a:latin typeface="+mn-lt"/>
              <a:ea typeface="+mn-ea"/>
              <a:cs typeface="+mn-cs"/>
            </a:rPr>
            <a:t>35-44 is the most Engaged</a:t>
          </a:r>
          <a:endParaRPr lang="en-US">
            <a:effectLst/>
          </a:endParaRPr>
        </a:p>
        <a:p xmlns:a="http://schemas.openxmlformats.org/drawingml/2006/main">
          <a:endParaRPr lang="en-US" sz="1100" kern="1200"/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565150</xdr:colOff>
      <xdr:row>2</xdr:row>
      <xdr:rowOff>12700</xdr:rowOff>
    </xdr:from>
    <xdr:to>
      <xdr:col>11</xdr:col>
      <xdr:colOff>139700</xdr:colOff>
      <xdr:row>16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B0697E-0E76-3E26-B240-447CD47CA2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0.20972</cdr:x>
      <cdr:y>0.13657</cdr:y>
    </cdr:from>
    <cdr:to>
      <cdr:x>0.79722</cdr:x>
      <cdr:y>0.20833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1B5627F-1248-D316-2D86-A5DC017C300A}"/>
            </a:ext>
          </a:extLst>
        </cdr:cNvPr>
        <cdr:cNvSpPr txBox="1"/>
      </cdr:nvSpPr>
      <cdr:spPr>
        <a:xfrm xmlns:a="http://schemas.openxmlformats.org/drawingml/2006/main">
          <a:off x="958850" y="374650"/>
          <a:ext cx="2686050" cy="196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/>
            <a:t>Python Basics has the most pro enrolment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gaji Smith Ajang" refreshedDate="46084.58866342593" createdVersion="8" refreshedVersion="8" minRefreshableVersion="3" recordCount="375" xr:uid="{DC5799B8-8A62-4128-A9FC-A9A386968FF2}">
  <cacheSource type="worksheet">
    <worksheetSource ref="A1:H376" sheet="Cleaned_Data"/>
  </cacheSource>
  <cacheFields count="8">
    <cacheField name="Student ID" numFmtId="0">
      <sharedItems count="375">
        <s v="S0001"/>
        <s v="S0002"/>
        <s v="S0003"/>
        <s v="S0004"/>
        <s v="S0005"/>
        <s v="S0006"/>
        <s v="S0007"/>
        <s v="S0008"/>
        <s v="S0009"/>
        <s v="S0010"/>
        <s v="S0011"/>
        <s v="S0012"/>
        <s v="S0013"/>
        <s v="S0014"/>
        <s v="S0015"/>
        <s v="S0016"/>
        <s v="S0017"/>
        <s v="S0018"/>
        <s v="S0019"/>
        <s v="S0020"/>
        <s v="S0021"/>
        <s v="S0022"/>
        <s v="S0023"/>
        <s v="S0024"/>
        <s v="S0025"/>
        <s v="S0026"/>
        <s v="S0027"/>
        <s v="S0028"/>
        <s v="S0029"/>
        <s v="S0030"/>
        <s v="S0031"/>
        <s v="S0032"/>
        <s v="S0033"/>
        <s v="S0034"/>
        <s v="S0035"/>
        <s v="S0036"/>
        <s v="S0037"/>
        <s v="S0038"/>
        <s v="S0039"/>
        <s v="S0040"/>
        <s v="S0041"/>
        <s v="S0042"/>
        <s v="S0043"/>
        <s v="S0044"/>
        <s v="S0045"/>
        <s v="S0046"/>
        <s v="S0047"/>
        <s v="S0048"/>
        <s v="S0049"/>
        <s v="S0050"/>
        <s v="S0051"/>
        <s v="S0052"/>
        <s v="S0053"/>
        <s v="S0054"/>
        <s v="S0055"/>
        <s v="S0056"/>
        <s v="S0057"/>
        <s v="S0058"/>
        <s v="S0059"/>
        <s v="S0060"/>
        <s v="S0061"/>
        <s v="S0062"/>
        <s v="S0063"/>
        <s v="S0064"/>
        <s v="S0065"/>
        <s v="S0066"/>
        <s v="S0067"/>
        <s v="S0068"/>
        <s v="S0069"/>
        <s v="S0070"/>
        <s v="S0071"/>
        <s v="S0072"/>
        <s v="S0073"/>
        <s v="S0074"/>
        <s v="S0075"/>
        <s v="S0076"/>
        <s v="S0077"/>
        <s v="S0078"/>
        <s v="S0079"/>
        <s v="S0080"/>
        <s v="S0081"/>
        <s v="S0082"/>
        <s v="S0083"/>
        <s v="S0084"/>
        <s v="S0085"/>
        <s v="S0086"/>
        <s v="S0087"/>
        <s v="S0088"/>
        <s v="S0089"/>
        <s v="S0090"/>
        <s v="S0091"/>
        <s v="S0092"/>
        <s v="S0093"/>
        <s v="S0094"/>
        <s v="S0095"/>
        <s v="S0096"/>
        <s v="S0097"/>
        <s v="S0098"/>
        <s v="S0099"/>
        <s v="S0100"/>
        <s v="S0101"/>
        <s v="S0102"/>
        <s v="S0103"/>
        <s v="S0104"/>
        <s v="S0105"/>
        <s v="S0106"/>
        <s v="S0107"/>
        <s v="S0108"/>
        <s v="S0109"/>
        <s v="S0110"/>
        <s v="S0111"/>
        <s v="S0112"/>
        <s v="S0113"/>
        <s v="S0114"/>
        <s v="S0115"/>
        <s v="S0116"/>
        <s v="S0117"/>
        <s v="S0118"/>
        <s v="S0119"/>
        <s v="S0120"/>
        <s v="S0121"/>
        <s v="S0122"/>
        <s v="S0123"/>
        <s v="S0124"/>
        <s v="S0125"/>
        <s v="S0126"/>
        <s v="S0127"/>
        <s v="S0128"/>
        <s v="S0129"/>
        <s v="S0130"/>
        <s v="S0131"/>
        <s v="S0132"/>
        <s v="S0133"/>
        <s v="S0134"/>
        <s v="S0135"/>
        <s v="S0136"/>
        <s v="S0137"/>
        <s v="S0138"/>
        <s v="S0139"/>
        <s v="S0140"/>
        <s v="S0141"/>
        <s v="S0142"/>
        <s v="S0143"/>
        <s v="S0144"/>
        <s v="S0145"/>
        <s v="S0146"/>
        <s v="S0147"/>
        <s v="S0148"/>
        <s v="S0149"/>
        <s v="S0150"/>
        <s v="S0151"/>
        <s v="S0152"/>
        <s v="S0153"/>
        <s v="S0154"/>
        <s v="S0155"/>
        <s v="S0156"/>
        <s v="S0157"/>
        <s v="S0158"/>
        <s v="S0159"/>
        <s v="S0160"/>
        <s v="S0161"/>
        <s v="S0162"/>
        <s v="S0163"/>
        <s v="S0164"/>
        <s v="S0165"/>
        <s v="S0166"/>
        <s v="S0167"/>
        <s v="S0168"/>
        <s v="S0169"/>
        <s v="S0170"/>
        <s v="S0171"/>
        <s v="S0172"/>
        <s v="S0173"/>
        <s v="S0174"/>
        <s v="S0175"/>
        <s v="S0176"/>
        <s v="S0177"/>
        <s v="S0178"/>
        <s v="S0179"/>
        <s v="S0180"/>
        <s v="S0181"/>
        <s v="S0182"/>
        <s v="S0183"/>
        <s v="S0184"/>
        <s v="S0185"/>
        <s v="S0186"/>
        <s v="S0187"/>
        <s v="S0188"/>
        <s v="S0189"/>
        <s v="S0190"/>
        <s v="S0191"/>
        <s v="S0192"/>
        <s v="S0193"/>
        <s v="S0194"/>
        <s v="S0195"/>
        <s v="S0196"/>
        <s v="S0197"/>
        <s v="S0198"/>
        <s v="S0199"/>
        <s v="S0200"/>
        <s v="S0201"/>
        <s v="S0202"/>
        <s v="S0203"/>
        <s v="S0204"/>
        <s v="S0205"/>
        <s v="S0206"/>
        <s v="S0207"/>
        <s v="S0208"/>
        <s v="S0209"/>
        <s v="S0210"/>
        <s v="S0211"/>
        <s v="S0212"/>
        <s v="S0213"/>
        <s v="S0214"/>
        <s v="S0215"/>
        <s v="S0216"/>
        <s v="S0217"/>
        <s v="S0218"/>
        <s v="S0219"/>
        <s v="S0220"/>
        <s v="S0221"/>
        <s v="S0222"/>
        <s v="S0223"/>
        <s v="S0224"/>
        <s v="S0225"/>
        <s v="S0226"/>
        <s v="S0227"/>
        <s v="S0228"/>
        <s v="S0229"/>
        <s v="S0230"/>
        <s v="S0231"/>
        <s v="S0232"/>
        <s v="S0233"/>
        <s v="S0234"/>
        <s v="S0235"/>
        <s v="S0236"/>
        <s v="S0237"/>
        <s v="S0238"/>
        <s v="S0239"/>
        <s v="S0240"/>
        <s v="S0241"/>
        <s v="S0242"/>
        <s v="S0243"/>
        <s v="S0244"/>
        <s v="S0245"/>
        <s v="S0246"/>
        <s v="S0247"/>
        <s v="S0248"/>
        <s v="S0249"/>
        <s v="S0250"/>
        <s v="S0251"/>
        <s v="S0252"/>
        <s v="S0253"/>
        <s v="S0254"/>
        <s v="S0255"/>
        <s v="S0256"/>
        <s v="S0257"/>
        <s v="S0258"/>
        <s v="S0259"/>
        <s v="S0260"/>
        <s v="S0261"/>
        <s v="S0262"/>
        <s v="S0263"/>
        <s v="S0264"/>
        <s v="S0265"/>
        <s v="S0266"/>
        <s v="S0267"/>
        <s v="S0268"/>
        <s v="S0269"/>
        <s v="S0270"/>
        <s v="S0271"/>
        <s v="S0272"/>
        <s v="S0273"/>
        <s v="S0274"/>
        <s v="S0275"/>
        <s v="S0276"/>
        <s v="S0277"/>
        <s v="S0278"/>
        <s v="S0279"/>
        <s v="S0280"/>
        <s v="S0281"/>
        <s v="S0282"/>
        <s v="S0283"/>
        <s v="S0284"/>
        <s v="S0285"/>
        <s v="S0286"/>
        <s v="S0287"/>
        <s v="S0288"/>
        <s v="S0289"/>
        <s v="S0290"/>
        <s v="S0291"/>
        <s v="S0292"/>
        <s v="S0293"/>
        <s v="S0294"/>
        <s v="S0295"/>
        <s v="S0296"/>
        <s v="S0297"/>
        <s v="S0298"/>
        <s v="S0299"/>
        <s v="S0300"/>
        <s v="S0301"/>
        <s v="S0302"/>
        <s v="S0303"/>
        <s v="S0304"/>
        <s v="S0305"/>
        <s v="S0306"/>
        <s v="S0307"/>
        <s v="S0308"/>
        <s v="S0309"/>
        <s v="S0310"/>
        <s v="S0311"/>
        <s v="S0312"/>
        <s v="S0313"/>
        <s v="S0314"/>
        <s v="S0315"/>
        <s v="S0316"/>
        <s v="S0317"/>
        <s v="S0318"/>
        <s v="S0319"/>
        <s v="S0320"/>
        <s v="S0321"/>
        <s v="S0322"/>
        <s v="S0323"/>
        <s v="S0324"/>
        <s v="S0325"/>
        <s v="S0326"/>
        <s v="S0327"/>
        <s v="S0328"/>
        <s v="S0329"/>
        <s v="S0330"/>
        <s v="S0331"/>
        <s v="S0332"/>
        <s v="S0333"/>
        <s v="S0334"/>
        <s v="S0335"/>
        <s v="S0336"/>
        <s v="S0337"/>
        <s v="S0338"/>
        <s v="S0339"/>
        <s v="S0340"/>
        <s v="S0341"/>
        <s v="S0342"/>
        <s v="S0343"/>
        <s v="S0344"/>
        <s v="S0345"/>
        <s v="S0346"/>
        <s v="S0347"/>
        <s v="S0348"/>
        <s v="S0349"/>
        <s v="S0350"/>
        <s v="S0351"/>
        <s v="S0352"/>
        <s v="S0353"/>
        <s v="S0354"/>
        <s v="S0355"/>
        <s v="S0356"/>
        <s v="S0357"/>
        <s v="S0358"/>
        <s v="S0359"/>
        <s v="S0360"/>
        <s v="S0361"/>
        <s v="S0362"/>
        <s v="S0363"/>
        <s v="S0364"/>
        <s v="S0365"/>
        <s v="S0366"/>
        <s v="S0367"/>
        <s v="S0368"/>
        <s v="S0369"/>
        <s v="S0370"/>
        <s v="S0371"/>
        <s v="S0372"/>
        <s v="S0373"/>
        <s v="S0374"/>
        <s v="S0375"/>
      </sharedItems>
    </cacheField>
    <cacheField name="Region" numFmtId="0">
      <sharedItems count="5">
        <s v="Asia"/>
        <s v="South America"/>
        <s v="Africa"/>
        <s v="Europe"/>
        <s v="North America"/>
      </sharedItems>
    </cacheField>
    <cacheField name="Course Name" numFmtId="0">
      <sharedItems count="5">
        <s v="Python Basics"/>
        <s v="AI Essentials"/>
        <s v="Excel for Beginners"/>
        <s v="Data Visualization"/>
        <s v="SQL Mastery"/>
      </sharedItems>
    </cacheField>
    <cacheField name="Subscription Type" numFmtId="0">
      <sharedItems count="3">
        <s v="Standard"/>
        <s v="Pro"/>
        <s v="Free"/>
      </sharedItems>
    </cacheField>
    <cacheField name="Signup Channel" numFmtId="0">
      <sharedItems count="4">
        <s v="Ads"/>
        <s v="Referral"/>
        <s v="Email Campaign"/>
        <s v="Organic"/>
      </sharedItems>
    </cacheField>
    <cacheField name="Age Group" numFmtId="0">
      <sharedItems count="5">
        <s v="25-34"/>
        <s v="18-24"/>
        <s v="55+"/>
        <s v="45-54"/>
        <s v="35-44"/>
      </sharedItems>
    </cacheField>
    <cacheField name="Monthly Payment ($)" numFmtId="0">
      <sharedItems containsSemiMixedTypes="0" containsString="0" containsNumber="1" containsInteger="1" minValue="0" maxValue="50"/>
    </cacheField>
    <cacheField name="Videos Watched (Month)" numFmtId="0">
      <sharedItems containsSemiMixedTypes="0" containsString="0" containsNumber="1" containsInteger="1" minValue="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gaji Smith Ajang" refreshedDate="46096.106052662035" createdVersion="8" refreshedVersion="8" minRefreshableVersion="3" recordCount="375" xr:uid="{14DA90BC-324C-40BC-A96E-E363B45DD692}">
  <cacheSource type="worksheet">
    <worksheetSource name="Table1"/>
  </cacheSource>
  <cacheFields count="8">
    <cacheField name="Student ID" numFmtId="49">
      <sharedItems count="375">
        <s v="S0001"/>
        <s v="S0002"/>
        <s v="S0003"/>
        <s v="S0004"/>
        <s v="S0005"/>
        <s v="S0006"/>
        <s v="S0007"/>
        <s v="S0008"/>
        <s v="S0009"/>
        <s v="S0010"/>
        <s v="S0011"/>
        <s v="S0012"/>
        <s v="S0013"/>
        <s v="S0014"/>
        <s v="S0015"/>
        <s v="S0016"/>
        <s v="S0017"/>
        <s v="S0018"/>
        <s v="S0019"/>
        <s v="S0020"/>
        <s v="S0021"/>
        <s v="S0022"/>
        <s v="S0023"/>
        <s v="S0024"/>
        <s v="S0025"/>
        <s v="S0026"/>
        <s v="S0027"/>
        <s v="S0028"/>
        <s v="S0029"/>
        <s v="S0030"/>
        <s v="S0031"/>
        <s v="S0032"/>
        <s v="S0033"/>
        <s v="S0034"/>
        <s v="S0035"/>
        <s v="S0036"/>
        <s v="S0037"/>
        <s v="S0038"/>
        <s v="S0039"/>
        <s v="S0040"/>
        <s v="S0041"/>
        <s v="S0042"/>
        <s v="S0043"/>
        <s v="S0044"/>
        <s v="S0045"/>
        <s v="S0046"/>
        <s v="S0047"/>
        <s v="S0048"/>
        <s v="S0049"/>
        <s v="S0050"/>
        <s v="S0051"/>
        <s v="S0052"/>
        <s v="S0053"/>
        <s v="S0054"/>
        <s v="S0055"/>
        <s v="S0056"/>
        <s v="S0057"/>
        <s v="S0058"/>
        <s v="S0059"/>
        <s v="S0060"/>
        <s v="S0061"/>
        <s v="S0062"/>
        <s v="S0063"/>
        <s v="S0064"/>
        <s v="S0065"/>
        <s v="S0066"/>
        <s v="S0067"/>
        <s v="S0068"/>
        <s v="S0069"/>
        <s v="S0070"/>
        <s v="S0071"/>
        <s v="S0072"/>
        <s v="S0073"/>
        <s v="S0074"/>
        <s v="S0075"/>
        <s v="S0076"/>
        <s v="S0077"/>
        <s v="S0078"/>
        <s v="S0079"/>
        <s v="S0080"/>
        <s v="S0081"/>
        <s v="S0082"/>
        <s v="S0083"/>
        <s v="S0084"/>
        <s v="S0085"/>
        <s v="S0086"/>
        <s v="S0087"/>
        <s v="S0088"/>
        <s v="S0089"/>
        <s v="S0090"/>
        <s v="S0091"/>
        <s v="S0092"/>
        <s v="S0093"/>
        <s v="S0094"/>
        <s v="S0095"/>
        <s v="S0096"/>
        <s v="S0097"/>
        <s v="S0098"/>
        <s v="S0099"/>
        <s v="S0100"/>
        <s v="S0101"/>
        <s v="S0102"/>
        <s v="S0103"/>
        <s v="S0104"/>
        <s v="S0105"/>
        <s v="S0106"/>
        <s v="S0107"/>
        <s v="S0108"/>
        <s v="S0109"/>
        <s v="S0110"/>
        <s v="S0111"/>
        <s v="S0112"/>
        <s v="S0113"/>
        <s v="S0114"/>
        <s v="S0115"/>
        <s v="S0116"/>
        <s v="S0117"/>
        <s v="S0118"/>
        <s v="S0119"/>
        <s v="S0120"/>
        <s v="S0121"/>
        <s v="S0122"/>
        <s v="S0123"/>
        <s v="S0124"/>
        <s v="S0125"/>
        <s v="S0126"/>
        <s v="S0127"/>
        <s v="S0128"/>
        <s v="S0129"/>
        <s v="S0130"/>
        <s v="S0131"/>
        <s v="S0132"/>
        <s v="S0133"/>
        <s v="S0134"/>
        <s v="S0135"/>
        <s v="S0136"/>
        <s v="S0137"/>
        <s v="S0138"/>
        <s v="S0139"/>
        <s v="S0140"/>
        <s v="S0141"/>
        <s v="S0142"/>
        <s v="S0143"/>
        <s v="S0144"/>
        <s v="S0145"/>
        <s v="S0146"/>
        <s v="S0147"/>
        <s v="S0148"/>
        <s v="S0149"/>
        <s v="S0150"/>
        <s v="S0151"/>
        <s v="S0152"/>
        <s v="S0153"/>
        <s v="S0154"/>
        <s v="S0155"/>
        <s v="S0156"/>
        <s v="S0157"/>
        <s v="S0158"/>
        <s v="S0159"/>
        <s v="S0160"/>
        <s v="S0161"/>
        <s v="S0162"/>
        <s v="S0163"/>
        <s v="S0164"/>
        <s v="S0165"/>
        <s v="S0166"/>
        <s v="S0167"/>
        <s v="S0168"/>
        <s v="S0169"/>
        <s v="S0170"/>
        <s v="S0171"/>
        <s v="S0172"/>
        <s v="S0173"/>
        <s v="S0174"/>
        <s v="S0175"/>
        <s v="S0176"/>
        <s v="S0177"/>
        <s v="S0178"/>
        <s v="S0179"/>
        <s v="S0180"/>
        <s v="S0181"/>
        <s v="S0182"/>
        <s v="S0183"/>
        <s v="S0184"/>
        <s v="S0185"/>
        <s v="S0186"/>
        <s v="S0187"/>
        <s v="S0188"/>
        <s v="S0189"/>
        <s v="S0190"/>
        <s v="S0191"/>
        <s v="S0192"/>
        <s v="S0193"/>
        <s v="S0194"/>
        <s v="S0195"/>
        <s v="S0196"/>
        <s v="S0197"/>
        <s v="S0198"/>
        <s v="S0199"/>
        <s v="S0200"/>
        <s v="S0201"/>
        <s v="S0202"/>
        <s v="S0203"/>
        <s v="S0204"/>
        <s v="S0205"/>
        <s v="S0206"/>
        <s v="S0207"/>
        <s v="S0208"/>
        <s v="S0209"/>
        <s v="S0210"/>
        <s v="S0211"/>
        <s v="S0212"/>
        <s v="S0213"/>
        <s v="S0214"/>
        <s v="S0215"/>
        <s v="S0216"/>
        <s v="S0217"/>
        <s v="S0218"/>
        <s v="S0219"/>
        <s v="S0220"/>
        <s v="S0221"/>
        <s v="S0222"/>
        <s v="S0223"/>
        <s v="S0224"/>
        <s v="S0225"/>
        <s v="S0226"/>
        <s v="S0227"/>
        <s v="S0228"/>
        <s v="S0229"/>
        <s v="S0230"/>
        <s v="S0231"/>
        <s v="S0232"/>
        <s v="S0233"/>
        <s v="S0234"/>
        <s v="S0235"/>
        <s v="S0236"/>
        <s v="S0237"/>
        <s v="S0238"/>
        <s v="S0239"/>
        <s v="S0240"/>
        <s v="S0241"/>
        <s v="S0242"/>
        <s v="S0243"/>
        <s v="S0244"/>
        <s v="S0245"/>
        <s v="S0246"/>
        <s v="S0247"/>
        <s v="S0248"/>
        <s v="S0249"/>
        <s v="S0250"/>
        <s v="S0251"/>
        <s v="S0252"/>
        <s v="S0253"/>
        <s v="S0254"/>
        <s v="S0255"/>
        <s v="S0256"/>
        <s v="S0257"/>
        <s v="S0258"/>
        <s v="S0259"/>
        <s v="S0260"/>
        <s v="S0261"/>
        <s v="S0262"/>
        <s v="S0263"/>
        <s v="S0264"/>
        <s v="S0265"/>
        <s v="S0266"/>
        <s v="S0267"/>
        <s v="S0268"/>
        <s v="S0269"/>
        <s v="S0270"/>
        <s v="S0271"/>
        <s v="S0272"/>
        <s v="S0273"/>
        <s v="S0274"/>
        <s v="S0275"/>
        <s v="S0276"/>
        <s v="S0277"/>
        <s v="S0278"/>
        <s v="S0279"/>
        <s v="S0280"/>
        <s v="S0281"/>
        <s v="S0282"/>
        <s v="S0283"/>
        <s v="S0284"/>
        <s v="S0285"/>
        <s v="S0286"/>
        <s v="S0287"/>
        <s v="S0288"/>
        <s v="S0289"/>
        <s v="S0290"/>
        <s v="S0291"/>
        <s v="S0292"/>
        <s v="S0293"/>
        <s v="S0294"/>
        <s v="S0295"/>
        <s v="S0296"/>
        <s v="S0297"/>
        <s v="S0298"/>
        <s v="S0299"/>
        <s v="S0300"/>
        <s v="S0301"/>
        <s v="S0302"/>
        <s v="S0303"/>
        <s v="S0304"/>
        <s v="S0305"/>
        <s v="S0306"/>
        <s v="S0307"/>
        <s v="S0308"/>
        <s v="S0309"/>
        <s v="S0310"/>
        <s v="S0311"/>
        <s v="S0312"/>
        <s v="S0313"/>
        <s v="S0314"/>
        <s v="S0315"/>
        <s v="S0316"/>
        <s v="S0317"/>
        <s v="S0318"/>
        <s v="S0319"/>
        <s v="S0320"/>
        <s v="S0321"/>
        <s v="S0322"/>
        <s v="S0323"/>
        <s v="S0324"/>
        <s v="S0325"/>
        <s v="S0326"/>
        <s v="S0327"/>
        <s v="S0328"/>
        <s v="S0329"/>
        <s v="S0330"/>
        <s v="S0331"/>
        <s v="S0332"/>
        <s v="S0333"/>
        <s v="S0334"/>
        <s v="S0335"/>
        <s v="S0336"/>
        <s v="S0337"/>
        <s v="S0338"/>
        <s v="S0339"/>
        <s v="S0340"/>
        <s v="S0341"/>
        <s v="S0342"/>
        <s v="S0343"/>
        <s v="S0344"/>
        <s v="S0345"/>
        <s v="S0346"/>
        <s v="S0347"/>
        <s v="S0348"/>
        <s v="S0349"/>
        <s v="S0350"/>
        <s v="S0351"/>
        <s v="S0352"/>
        <s v="S0353"/>
        <s v="S0354"/>
        <s v="S0355"/>
        <s v="S0356"/>
        <s v="S0357"/>
        <s v="S0358"/>
        <s v="S0359"/>
        <s v="S0360"/>
        <s v="S0361"/>
        <s v="S0362"/>
        <s v="S0363"/>
        <s v="S0364"/>
        <s v="S0365"/>
        <s v="S0366"/>
        <s v="S0367"/>
        <s v="S0368"/>
        <s v="S0369"/>
        <s v="S0370"/>
        <s v="S0371"/>
        <s v="S0372"/>
        <s v="S0373"/>
        <s v="S0374"/>
        <s v="S0375"/>
      </sharedItems>
    </cacheField>
    <cacheField name="Region" numFmtId="49">
      <sharedItems/>
    </cacheField>
    <cacheField name="Course Name" numFmtId="49">
      <sharedItems count="6">
        <s v="Python Basics"/>
        <s v="AI Essentials"/>
        <s v="Excel for Beginners"/>
        <s v="Data Visualization"/>
        <s v="Asia"/>
        <s v="SQL Mastery"/>
      </sharedItems>
    </cacheField>
    <cacheField name="Subscription Type" numFmtId="49">
      <sharedItems count="3">
        <s v="Standard"/>
        <s v="Pro"/>
        <s v="Free"/>
      </sharedItems>
    </cacheField>
    <cacheField name="Signup Channel" numFmtId="49">
      <sharedItems/>
    </cacheField>
    <cacheField name="Age Group" numFmtId="2">
      <sharedItems/>
    </cacheField>
    <cacheField name="Monthly Payment ($)" numFmtId="1">
      <sharedItems containsSemiMixedTypes="0" containsString="0" containsNumber="1" containsInteger="1" minValue="0" maxValue="50"/>
    </cacheField>
    <cacheField name="Videos Watched (Month)" numFmtId="1">
      <sharedItems containsSemiMixedTypes="0" containsString="0" containsNumber="1" containsInteger="1" minValue="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5">
  <r>
    <x v="0"/>
    <x v="0"/>
    <x v="0"/>
    <x v="0"/>
    <x v="0"/>
    <x v="0"/>
    <n v="20"/>
    <n v="3"/>
  </r>
  <r>
    <x v="1"/>
    <x v="1"/>
    <x v="1"/>
    <x v="0"/>
    <x v="0"/>
    <x v="0"/>
    <n v="20"/>
    <n v="17"/>
  </r>
  <r>
    <x v="2"/>
    <x v="2"/>
    <x v="2"/>
    <x v="1"/>
    <x v="1"/>
    <x v="1"/>
    <n v="50"/>
    <n v="15"/>
  </r>
  <r>
    <x v="3"/>
    <x v="3"/>
    <x v="1"/>
    <x v="2"/>
    <x v="2"/>
    <x v="0"/>
    <n v="0"/>
    <n v="10"/>
  </r>
  <r>
    <x v="4"/>
    <x v="4"/>
    <x v="2"/>
    <x v="0"/>
    <x v="1"/>
    <x v="2"/>
    <n v="20"/>
    <n v="15"/>
  </r>
  <r>
    <x v="5"/>
    <x v="3"/>
    <x v="0"/>
    <x v="2"/>
    <x v="3"/>
    <x v="1"/>
    <n v="0"/>
    <n v="6"/>
  </r>
  <r>
    <x v="6"/>
    <x v="2"/>
    <x v="3"/>
    <x v="1"/>
    <x v="3"/>
    <x v="1"/>
    <n v="50"/>
    <n v="6"/>
  </r>
  <r>
    <x v="7"/>
    <x v="0"/>
    <x v="2"/>
    <x v="1"/>
    <x v="3"/>
    <x v="2"/>
    <n v="50"/>
    <n v="14"/>
  </r>
  <r>
    <x v="8"/>
    <x v="2"/>
    <x v="2"/>
    <x v="2"/>
    <x v="1"/>
    <x v="3"/>
    <n v="0"/>
    <n v="20"/>
  </r>
  <r>
    <x v="9"/>
    <x v="4"/>
    <x v="4"/>
    <x v="1"/>
    <x v="3"/>
    <x v="3"/>
    <n v="50"/>
    <n v="18"/>
  </r>
  <r>
    <x v="10"/>
    <x v="2"/>
    <x v="0"/>
    <x v="1"/>
    <x v="0"/>
    <x v="2"/>
    <n v="50"/>
    <n v="15"/>
  </r>
  <r>
    <x v="11"/>
    <x v="3"/>
    <x v="3"/>
    <x v="0"/>
    <x v="3"/>
    <x v="1"/>
    <n v="20"/>
    <n v="1"/>
  </r>
  <r>
    <x v="12"/>
    <x v="4"/>
    <x v="4"/>
    <x v="0"/>
    <x v="2"/>
    <x v="1"/>
    <n v="20"/>
    <n v="8"/>
  </r>
  <r>
    <x v="13"/>
    <x v="2"/>
    <x v="3"/>
    <x v="1"/>
    <x v="3"/>
    <x v="3"/>
    <n v="50"/>
    <n v="20"/>
  </r>
  <r>
    <x v="14"/>
    <x v="3"/>
    <x v="4"/>
    <x v="2"/>
    <x v="3"/>
    <x v="1"/>
    <n v="0"/>
    <n v="15"/>
  </r>
  <r>
    <x v="15"/>
    <x v="1"/>
    <x v="1"/>
    <x v="0"/>
    <x v="3"/>
    <x v="1"/>
    <n v="20"/>
    <n v="15"/>
  </r>
  <r>
    <x v="16"/>
    <x v="4"/>
    <x v="2"/>
    <x v="2"/>
    <x v="0"/>
    <x v="1"/>
    <n v="0"/>
    <n v="14"/>
  </r>
  <r>
    <x v="17"/>
    <x v="1"/>
    <x v="3"/>
    <x v="2"/>
    <x v="3"/>
    <x v="0"/>
    <n v="0"/>
    <n v="7"/>
  </r>
  <r>
    <x v="18"/>
    <x v="3"/>
    <x v="2"/>
    <x v="0"/>
    <x v="0"/>
    <x v="0"/>
    <n v="20"/>
    <n v="4"/>
  </r>
  <r>
    <x v="19"/>
    <x v="4"/>
    <x v="0"/>
    <x v="2"/>
    <x v="2"/>
    <x v="2"/>
    <n v="0"/>
    <n v="19"/>
  </r>
  <r>
    <x v="20"/>
    <x v="1"/>
    <x v="1"/>
    <x v="0"/>
    <x v="1"/>
    <x v="2"/>
    <n v="20"/>
    <n v="3"/>
  </r>
  <r>
    <x v="21"/>
    <x v="2"/>
    <x v="3"/>
    <x v="0"/>
    <x v="1"/>
    <x v="2"/>
    <n v="20"/>
    <n v="8"/>
  </r>
  <r>
    <x v="22"/>
    <x v="1"/>
    <x v="0"/>
    <x v="0"/>
    <x v="3"/>
    <x v="2"/>
    <n v="20"/>
    <n v="15"/>
  </r>
  <r>
    <x v="23"/>
    <x v="4"/>
    <x v="2"/>
    <x v="2"/>
    <x v="0"/>
    <x v="1"/>
    <n v="0"/>
    <n v="2"/>
  </r>
  <r>
    <x v="24"/>
    <x v="4"/>
    <x v="1"/>
    <x v="1"/>
    <x v="0"/>
    <x v="1"/>
    <n v="50"/>
    <n v="13"/>
  </r>
  <r>
    <x v="25"/>
    <x v="4"/>
    <x v="3"/>
    <x v="2"/>
    <x v="1"/>
    <x v="3"/>
    <n v="0"/>
    <n v="15"/>
  </r>
  <r>
    <x v="26"/>
    <x v="1"/>
    <x v="0"/>
    <x v="1"/>
    <x v="2"/>
    <x v="4"/>
    <n v="50"/>
    <n v="9"/>
  </r>
  <r>
    <x v="27"/>
    <x v="2"/>
    <x v="4"/>
    <x v="2"/>
    <x v="1"/>
    <x v="0"/>
    <n v="0"/>
    <n v="8"/>
  </r>
  <r>
    <x v="28"/>
    <x v="1"/>
    <x v="1"/>
    <x v="0"/>
    <x v="2"/>
    <x v="2"/>
    <n v="20"/>
    <n v="17"/>
  </r>
  <r>
    <x v="29"/>
    <x v="0"/>
    <x v="3"/>
    <x v="0"/>
    <x v="1"/>
    <x v="1"/>
    <n v="20"/>
    <n v="8"/>
  </r>
  <r>
    <x v="30"/>
    <x v="4"/>
    <x v="0"/>
    <x v="1"/>
    <x v="0"/>
    <x v="4"/>
    <n v="50"/>
    <n v="1"/>
  </r>
  <r>
    <x v="31"/>
    <x v="2"/>
    <x v="1"/>
    <x v="2"/>
    <x v="3"/>
    <x v="2"/>
    <n v="0"/>
    <n v="0"/>
  </r>
  <r>
    <x v="32"/>
    <x v="2"/>
    <x v="2"/>
    <x v="1"/>
    <x v="0"/>
    <x v="4"/>
    <n v="50"/>
    <n v="5"/>
  </r>
  <r>
    <x v="33"/>
    <x v="0"/>
    <x v="2"/>
    <x v="1"/>
    <x v="2"/>
    <x v="1"/>
    <n v="50"/>
    <n v="9"/>
  </r>
  <r>
    <x v="34"/>
    <x v="0"/>
    <x v="3"/>
    <x v="2"/>
    <x v="3"/>
    <x v="1"/>
    <n v="0"/>
    <n v="14"/>
  </r>
  <r>
    <x v="35"/>
    <x v="3"/>
    <x v="3"/>
    <x v="1"/>
    <x v="2"/>
    <x v="2"/>
    <n v="50"/>
    <n v="2"/>
  </r>
  <r>
    <x v="36"/>
    <x v="4"/>
    <x v="2"/>
    <x v="0"/>
    <x v="3"/>
    <x v="3"/>
    <n v="20"/>
    <n v="4"/>
  </r>
  <r>
    <x v="37"/>
    <x v="0"/>
    <x v="1"/>
    <x v="2"/>
    <x v="1"/>
    <x v="0"/>
    <n v="0"/>
    <n v="17"/>
  </r>
  <r>
    <x v="38"/>
    <x v="4"/>
    <x v="2"/>
    <x v="1"/>
    <x v="3"/>
    <x v="2"/>
    <n v="50"/>
    <n v="12"/>
  </r>
  <r>
    <x v="39"/>
    <x v="4"/>
    <x v="0"/>
    <x v="1"/>
    <x v="2"/>
    <x v="0"/>
    <n v="50"/>
    <n v="17"/>
  </r>
  <r>
    <x v="40"/>
    <x v="0"/>
    <x v="4"/>
    <x v="1"/>
    <x v="2"/>
    <x v="0"/>
    <n v="50"/>
    <n v="6"/>
  </r>
  <r>
    <x v="41"/>
    <x v="2"/>
    <x v="3"/>
    <x v="0"/>
    <x v="2"/>
    <x v="2"/>
    <n v="20"/>
    <n v="6"/>
  </r>
  <r>
    <x v="42"/>
    <x v="4"/>
    <x v="0"/>
    <x v="0"/>
    <x v="1"/>
    <x v="4"/>
    <n v="20"/>
    <n v="10"/>
  </r>
  <r>
    <x v="43"/>
    <x v="1"/>
    <x v="0"/>
    <x v="1"/>
    <x v="1"/>
    <x v="0"/>
    <n v="50"/>
    <n v="8"/>
  </r>
  <r>
    <x v="44"/>
    <x v="3"/>
    <x v="0"/>
    <x v="0"/>
    <x v="1"/>
    <x v="0"/>
    <n v="20"/>
    <n v="8"/>
  </r>
  <r>
    <x v="45"/>
    <x v="1"/>
    <x v="4"/>
    <x v="1"/>
    <x v="1"/>
    <x v="3"/>
    <n v="50"/>
    <n v="7"/>
  </r>
  <r>
    <x v="46"/>
    <x v="4"/>
    <x v="3"/>
    <x v="1"/>
    <x v="3"/>
    <x v="4"/>
    <n v="50"/>
    <n v="9"/>
  </r>
  <r>
    <x v="47"/>
    <x v="4"/>
    <x v="4"/>
    <x v="2"/>
    <x v="2"/>
    <x v="3"/>
    <n v="0"/>
    <n v="16"/>
  </r>
  <r>
    <x v="48"/>
    <x v="2"/>
    <x v="3"/>
    <x v="1"/>
    <x v="2"/>
    <x v="1"/>
    <n v="50"/>
    <n v="14"/>
  </r>
  <r>
    <x v="49"/>
    <x v="0"/>
    <x v="3"/>
    <x v="1"/>
    <x v="2"/>
    <x v="3"/>
    <n v="50"/>
    <n v="5"/>
  </r>
  <r>
    <x v="50"/>
    <x v="1"/>
    <x v="1"/>
    <x v="0"/>
    <x v="2"/>
    <x v="2"/>
    <n v="20"/>
    <n v="8"/>
  </r>
  <r>
    <x v="51"/>
    <x v="2"/>
    <x v="4"/>
    <x v="2"/>
    <x v="1"/>
    <x v="3"/>
    <n v="0"/>
    <n v="16"/>
  </r>
  <r>
    <x v="52"/>
    <x v="2"/>
    <x v="2"/>
    <x v="0"/>
    <x v="3"/>
    <x v="3"/>
    <n v="20"/>
    <n v="10"/>
  </r>
  <r>
    <x v="53"/>
    <x v="0"/>
    <x v="1"/>
    <x v="0"/>
    <x v="3"/>
    <x v="4"/>
    <n v="20"/>
    <n v="11"/>
  </r>
  <r>
    <x v="54"/>
    <x v="4"/>
    <x v="3"/>
    <x v="2"/>
    <x v="0"/>
    <x v="0"/>
    <n v="0"/>
    <n v="1"/>
  </r>
  <r>
    <x v="55"/>
    <x v="2"/>
    <x v="4"/>
    <x v="0"/>
    <x v="1"/>
    <x v="4"/>
    <n v="20"/>
    <n v="2"/>
  </r>
  <r>
    <x v="56"/>
    <x v="0"/>
    <x v="0"/>
    <x v="1"/>
    <x v="0"/>
    <x v="4"/>
    <n v="50"/>
    <n v="13"/>
  </r>
  <r>
    <x v="57"/>
    <x v="4"/>
    <x v="3"/>
    <x v="1"/>
    <x v="3"/>
    <x v="2"/>
    <n v="50"/>
    <n v="20"/>
  </r>
  <r>
    <x v="58"/>
    <x v="3"/>
    <x v="0"/>
    <x v="0"/>
    <x v="3"/>
    <x v="3"/>
    <n v="20"/>
    <n v="3"/>
  </r>
  <r>
    <x v="59"/>
    <x v="1"/>
    <x v="2"/>
    <x v="1"/>
    <x v="3"/>
    <x v="1"/>
    <n v="50"/>
    <n v="1"/>
  </r>
  <r>
    <x v="60"/>
    <x v="0"/>
    <x v="3"/>
    <x v="1"/>
    <x v="2"/>
    <x v="4"/>
    <n v="50"/>
    <n v="12"/>
  </r>
  <r>
    <x v="61"/>
    <x v="4"/>
    <x v="0"/>
    <x v="1"/>
    <x v="1"/>
    <x v="2"/>
    <n v="50"/>
    <n v="7"/>
  </r>
  <r>
    <x v="62"/>
    <x v="4"/>
    <x v="1"/>
    <x v="1"/>
    <x v="0"/>
    <x v="0"/>
    <n v="50"/>
    <n v="17"/>
  </r>
  <r>
    <x v="63"/>
    <x v="0"/>
    <x v="4"/>
    <x v="2"/>
    <x v="1"/>
    <x v="1"/>
    <n v="0"/>
    <n v="17"/>
  </r>
  <r>
    <x v="64"/>
    <x v="4"/>
    <x v="1"/>
    <x v="1"/>
    <x v="0"/>
    <x v="4"/>
    <n v="50"/>
    <n v="20"/>
  </r>
  <r>
    <x v="65"/>
    <x v="1"/>
    <x v="0"/>
    <x v="0"/>
    <x v="3"/>
    <x v="2"/>
    <n v="20"/>
    <n v="15"/>
  </r>
  <r>
    <x v="66"/>
    <x v="1"/>
    <x v="3"/>
    <x v="0"/>
    <x v="2"/>
    <x v="1"/>
    <n v="20"/>
    <n v="11"/>
  </r>
  <r>
    <x v="67"/>
    <x v="4"/>
    <x v="3"/>
    <x v="2"/>
    <x v="0"/>
    <x v="4"/>
    <n v="0"/>
    <n v="16"/>
  </r>
  <r>
    <x v="68"/>
    <x v="0"/>
    <x v="4"/>
    <x v="0"/>
    <x v="2"/>
    <x v="4"/>
    <n v="20"/>
    <n v="10"/>
  </r>
  <r>
    <x v="69"/>
    <x v="4"/>
    <x v="2"/>
    <x v="2"/>
    <x v="3"/>
    <x v="2"/>
    <n v="0"/>
    <n v="7"/>
  </r>
  <r>
    <x v="70"/>
    <x v="4"/>
    <x v="3"/>
    <x v="1"/>
    <x v="3"/>
    <x v="0"/>
    <n v="50"/>
    <n v="13"/>
  </r>
  <r>
    <x v="71"/>
    <x v="2"/>
    <x v="3"/>
    <x v="2"/>
    <x v="0"/>
    <x v="4"/>
    <n v="0"/>
    <n v="10"/>
  </r>
  <r>
    <x v="72"/>
    <x v="4"/>
    <x v="4"/>
    <x v="2"/>
    <x v="2"/>
    <x v="2"/>
    <n v="0"/>
    <n v="18"/>
  </r>
  <r>
    <x v="73"/>
    <x v="3"/>
    <x v="3"/>
    <x v="0"/>
    <x v="2"/>
    <x v="3"/>
    <n v="20"/>
    <n v="4"/>
  </r>
  <r>
    <x v="74"/>
    <x v="4"/>
    <x v="2"/>
    <x v="2"/>
    <x v="3"/>
    <x v="0"/>
    <n v="0"/>
    <n v="0"/>
  </r>
  <r>
    <x v="75"/>
    <x v="1"/>
    <x v="4"/>
    <x v="0"/>
    <x v="2"/>
    <x v="2"/>
    <n v="20"/>
    <n v="2"/>
  </r>
  <r>
    <x v="76"/>
    <x v="1"/>
    <x v="1"/>
    <x v="0"/>
    <x v="3"/>
    <x v="2"/>
    <n v="20"/>
    <n v="14"/>
  </r>
  <r>
    <x v="77"/>
    <x v="3"/>
    <x v="4"/>
    <x v="2"/>
    <x v="2"/>
    <x v="0"/>
    <n v="0"/>
    <n v="3"/>
  </r>
  <r>
    <x v="78"/>
    <x v="2"/>
    <x v="4"/>
    <x v="2"/>
    <x v="1"/>
    <x v="1"/>
    <n v="0"/>
    <n v="11"/>
  </r>
  <r>
    <x v="79"/>
    <x v="0"/>
    <x v="2"/>
    <x v="1"/>
    <x v="0"/>
    <x v="4"/>
    <n v="50"/>
    <n v="8"/>
  </r>
  <r>
    <x v="80"/>
    <x v="3"/>
    <x v="3"/>
    <x v="0"/>
    <x v="1"/>
    <x v="4"/>
    <n v="20"/>
    <n v="5"/>
  </r>
  <r>
    <x v="81"/>
    <x v="4"/>
    <x v="1"/>
    <x v="1"/>
    <x v="2"/>
    <x v="0"/>
    <n v="50"/>
    <n v="1"/>
  </r>
  <r>
    <x v="82"/>
    <x v="4"/>
    <x v="3"/>
    <x v="1"/>
    <x v="2"/>
    <x v="0"/>
    <n v="50"/>
    <n v="12"/>
  </r>
  <r>
    <x v="83"/>
    <x v="4"/>
    <x v="4"/>
    <x v="2"/>
    <x v="3"/>
    <x v="4"/>
    <n v="0"/>
    <n v="9"/>
  </r>
  <r>
    <x v="84"/>
    <x v="2"/>
    <x v="3"/>
    <x v="2"/>
    <x v="0"/>
    <x v="2"/>
    <n v="0"/>
    <n v="8"/>
  </r>
  <r>
    <x v="85"/>
    <x v="1"/>
    <x v="2"/>
    <x v="1"/>
    <x v="0"/>
    <x v="1"/>
    <n v="50"/>
    <n v="3"/>
  </r>
  <r>
    <x v="86"/>
    <x v="2"/>
    <x v="2"/>
    <x v="1"/>
    <x v="0"/>
    <x v="4"/>
    <n v="50"/>
    <n v="13"/>
  </r>
  <r>
    <x v="87"/>
    <x v="1"/>
    <x v="4"/>
    <x v="2"/>
    <x v="0"/>
    <x v="0"/>
    <n v="0"/>
    <n v="16"/>
  </r>
  <r>
    <x v="88"/>
    <x v="1"/>
    <x v="2"/>
    <x v="2"/>
    <x v="1"/>
    <x v="2"/>
    <n v="0"/>
    <n v="16"/>
  </r>
  <r>
    <x v="89"/>
    <x v="1"/>
    <x v="3"/>
    <x v="2"/>
    <x v="2"/>
    <x v="3"/>
    <n v="0"/>
    <n v="0"/>
  </r>
  <r>
    <x v="90"/>
    <x v="3"/>
    <x v="2"/>
    <x v="2"/>
    <x v="0"/>
    <x v="3"/>
    <n v="0"/>
    <n v="13"/>
  </r>
  <r>
    <x v="91"/>
    <x v="4"/>
    <x v="1"/>
    <x v="2"/>
    <x v="0"/>
    <x v="2"/>
    <n v="0"/>
    <n v="18"/>
  </r>
  <r>
    <x v="92"/>
    <x v="2"/>
    <x v="1"/>
    <x v="0"/>
    <x v="0"/>
    <x v="0"/>
    <n v="20"/>
    <n v="9"/>
  </r>
  <r>
    <x v="93"/>
    <x v="3"/>
    <x v="2"/>
    <x v="0"/>
    <x v="3"/>
    <x v="1"/>
    <n v="20"/>
    <n v="0"/>
  </r>
  <r>
    <x v="94"/>
    <x v="0"/>
    <x v="3"/>
    <x v="0"/>
    <x v="1"/>
    <x v="0"/>
    <n v="20"/>
    <n v="16"/>
  </r>
  <r>
    <x v="95"/>
    <x v="1"/>
    <x v="2"/>
    <x v="2"/>
    <x v="2"/>
    <x v="3"/>
    <n v="0"/>
    <n v="13"/>
  </r>
  <r>
    <x v="96"/>
    <x v="0"/>
    <x v="4"/>
    <x v="0"/>
    <x v="3"/>
    <x v="1"/>
    <n v="20"/>
    <n v="7"/>
  </r>
  <r>
    <x v="97"/>
    <x v="4"/>
    <x v="1"/>
    <x v="0"/>
    <x v="3"/>
    <x v="4"/>
    <n v="20"/>
    <n v="9"/>
  </r>
  <r>
    <x v="98"/>
    <x v="1"/>
    <x v="3"/>
    <x v="2"/>
    <x v="0"/>
    <x v="3"/>
    <n v="0"/>
    <n v="10"/>
  </r>
  <r>
    <x v="99"/>
    <x v="4"/>
    <x v="4"/>
    <x v="2"/>
    <x v="2"/>
    <x v="4"/>
    <n v="0"/>
    <n v="9"/>
  </r>
  <r>
    <x v="100"/>
    <x v="4"/>
    <x v="4"/>
    <x v="0"/>
    <x v="1"/>
    <x v="4"/>
    <n v="20"/>
    <n v="2"/>
  </r>
  <r>
    <x v="101"/>
    <x v="4"/>
    <x v="3"/>
    <x v="2"/>
    <x v="2"/>
    <x v="1"/>
    <n v="0"/>
    <n v="10"/>
  </r>
  <r>
    <x v="102"/>
    <x v="4"/>
    <x v="1"/>
    <x v="0"/>
    <x v="2"/>
    <x v="4"/>
    <n v="20"/>
    <n v="7"/>
  </r>
  <r>
    <x v="103"/>
    <x v="2"/>
    <x v="0"/>
    <x v="1"/>
    <x v="0"/>
    <x v="1"/>
    <n v="50"/>
    <n v="12"/>
  </r>
  <r>
    <x v="104"/>
    <x v="4"/>
    <x v="3"/>
    <x v="0"/>
    <x v="2"/>
    <x v="4"/>
    <n v="20"/>
    <n v="19"/>
  </r>
  <r>
    <x v="105"/>
    <x v="4"/>
    <x v="2"/>
    <x v="0"/>
    <x v="3"/>
    <x v="2"/>
    <n v="20"/>
    <n v="7"/>
  </r>
  <r>
    <x v="106"/>
    <x v="2"/>
    <x v="4"/>
    <x v="0"/>
    <x v="3"/>
    <x v="0"/>
    <n v="20"/>
    <n v="12"/>
  </r>
  <r>
    <x v="107"/>
    <x v="1"/>
    <x v="1"/>
    <x v="0"/>
    <x v="1"/>
    <x v="3"/>
    <n v="20"/>
    <n v="16"/>
  </r>
  <r>
    <x v="108"/>
    <x v="4"/>
    <x v="3"/>
    <x v="1"/>
    <x v="2"/>
    <x v="3"/>
    <n v="50"/>
    <n v="6"/>
  </r>
  <r>
    <x v="109"/>
    <x v="2"/>
    <x v="2"/>
    <x v="2"/>
    <x v="3"/>
    <x v="1"/>
    <n v="0"/>
    <n v="15"/>
  </r>
  <r>
    <x v="110"/>
    <x v="3"/>
    <x v="4"/>
    <x v="0"/>
    <x v="1"/>
    <x v="4"/>
    <n v="20"/>
    <n v="7"/>
  </r>
  <r>
    <x v="111"/>
    <x v="2"/>
    <x v="0"/>
    <x v="0"/>
    <x v="1"/>
    <x v="0"/>
    <n v="20"/>
    <n v="17"/>
  </r>
  <r>
    <x v="112"/>
    <x v="0"/>
    <x v="1"/>
    <x v="0"/>
    <x v="3"/>
    <x v="0"/>
    <n v="20"/>
    <n v="13"/>
  </r>
  <r>
    <x v="113"/>
    <x v="1"/>
    <x v="3"/>
    <x v="2"/>
    <x v="2"/>
    <x v="0"/>
    <n v="0"/>
    <n v="1"/>
  </r>
  <r>
    <x v="114"/>
    <x v="2"/>
    <x v="2"/>
    <x v="1"/>
    <x v="2"/>
    <x v="0"/>
    <n v="50"/>
    <n v="6"/>
  </r>
  <r>
    <x v="115"/>
    <x v="2"/>
    <x v="0"/>
    <x v="1"/>
    <x v="0"/>
    <x v="3"/>
    <n v="50"/>
    <n v="3"/>
  </r>
  <r>
    <x v="116"/>
    <x v="3"/>
    <x v="1"/>
    <x v="1"/>
    <x v="3"/>
    <x v="4"/>
    <n v="50"/>
    <n v="6"/>
  </r>
  <r>
    <x v="117"/>
    <x v="3"/>
    <x v="3"/>
    <x v="1"/>
    <x v="3"/>
    <x v="1"/>
    <n v="50"/>
    <n v="19"/>
  </r>
  <r>
    <x v="118"/>
    <x v="1"/>
    <x v="3"/>
    <x v="1"/>
    <x v="2"/>
    <x v="3"/>
    <n v="50"/>
    <n v="3"/>
  </r>
  <r>
    <x v="119"/>
    <x v="2"/>
    <x v="4"/>
    <x v="2"/>
    <x v="0"/>
    <x v="3"/>
    <n v="0"/>
    <n v="8"/>
  </r>
  <r>
    <x v="120"/>
    <x v="4"/>
    <x v="2"/>
    <x v="2"/>
    <x v="0"/>
    <x v="3"/>
    <n v="0"/>
    <n v="3"/>
  </r>
  <r>
    <x v="121"/>
    <x v="0"/>
    <x v="2"/>
    <x v="0"/>
    <x v="2"/>
    <x v="1"/>
    <n v="20"/>
    <n v="16"/>
  </r>
  <r>
    <x v="122"/>
    <x v="3"/>
    <x v="0"/>
    <x v="1"/>
    <x v="3"/>
    <x v="1"/>
    <n v="50"/>
    <n v="15"/>
  </r>
  <r>
    <x v="123"/>
    <x v="2"/>
    <x v="2"/>
    <x v="0"/>
    <x v="1"/>
    <x v="4"/>
    <n v="20"/>
    <n v="13"/>
  </r>
  <r>
    <x v="124"/>
    <x v="0"/>
    <x v="4"/>
    <x v="0"/>
    <x v="3"/>
    <x v="3"/>
    <n v="20"/>
    <n v="14"/>
  </r>
  <r>
    <x v="125"/>
    <x v="4"/>
    <x v="0"/>
    <x v="1"/>
    <x v="3"/>
    <x v="4"/>
    <n v="50"/>
    <n v="3"/>
  </r>
  <r>
    <x v="126"/>
    <x v="4"/>
    <x v="4"/>
    <x v="2"/>
    <x v="2"/>
    <x v="3"/>
    <n v="0"/>
    <n v="2"/>
  </r>
  <r>
    <x v="127"/>
    <x v="1"/>
    <x v="0"/>
    <x v="1"/>
    <x v="0"/>
    <x v="4"/>
    <n v="50"/>
    <n v="14"/>
  </r>
  <r>
    <x v="128"/>
    <x v="1"/>
    <x v="4"/>
    <x v="1"/>
    <x v="3"/>
    <x v="2"/>
    <n v="50"/>
    <n v="1"/>
  </r>
  <r>
    <x v="129"/>
    <x v="2"/>
    <x v="0"/>
    <x v="1"/>
    <x v="0"/>
    <x v="0"/>
    <n v="50"/>
    <n v="4"/>
  </r>
  <r>
    <x v="130"/>
    <x v="1"/>
    <x v="1"/>
    <x v="1"/>
    <x v="0"/>
    <x v="2"/>
    <n v="50"/>
    <n v="2"/>
  </r>
  <r>
    <x v="131"/>
    <x v="0"/>
    <x v="0"/>
    <x v="2"/>
    <x v="0"/>
    <x v="4"/>
    <n v="0"/>
    <n v="19"/>
  </r>
  <r>
    <x v="132"/>
    <x v="4"/>
    <x v="3"/>
    <x v="0"/>
    <x v="3"/>
    <x v="3"/>
    <n v="20"/>
    <n v="11"/>
  </r>
  <r>
    <x v="133"/>
    <x v="3"/>
    <x v="2"/>
    <x v="0"/>
    <x v="0"/>
    <x v="1"/>
    <n v="20"/>
    <n v="11"/>
  </r>
  <r>
    <x v="134"/>
    <x v="3"/>
    <x v="4"/>
    <x v="0"/>
    <x v="3"/>
    <x v="4"/>
    <n v="20"/>
    <n v="10"/>
  </r>
  <r>
    <x v="135"/>
    <x v="4"/>
    <x v="2"/>
    <x v="1"/>
    <x v="3"/>
    <x v="1"/>
    <n v="50"/>
    <n v="5"/>
  </r>
  <r>
    <x v="136"/>
    <x v="0"/>
    <x v="2"/>
    <x v="1"/>
    <x v="3"/>
    <x v="3"/>
    <n v="50"/>
    <n v="5"/>
  </r>
  <r>
    <x v="137"/>
    <x v="0"/>
    <x v="0"/>
    <x v="0"/>
    <x v="3"/>
    <x v="4"/>
    <n v="20"/>
    <n v="15"/>
  </r>
  <r>
    <x v="138"/>
    <x v="0"/>
    <x v="3"/>
    <x v="2"/>
    <x v="0"/>
    <x v="1"/>
    <n v="0"/>
    <n v="14"/>
  </r>
  <r>
    <x v="139"/>
    <x v="2"/>
    <x v="2"/>
    <x v="0"/>
    <x v="0"/>
    <x v="3"/>
    <n v="20"/>
    <n v="2"/>
  </r>
  <r>
    <x v="140"/>
    <x v="3"/>
    <x v="3"/>
    <x v="0"/>
    <x v="1"/>
    <x v="2"/>
    <n v="20"/>
    <n v="8"/>
  </r>
  <r>
    <x v="141"/>
    <x v="3"/>
    <x v="1"/>
    <x v="0"/>
    <x v="2"/>
    <x v="3"/>
    <n v="20"/>
    <n v="15"/>
  </r>
  <r>
    <x v="142"/>
    <x v="1"/>
    <x v="1"/>
    <x v="1"/>
    <x v="0"/>
    <x v="3"/>
    <n v="50"/>
    <n v="12"/>
  </r>
  <r>
    <x v="143"/>
    <x v="0"/>
    <x v="0"/>
    <x v="1"/>
    <x v="2"/>
    <x v="4"/>
    <n v="50"/>
    <n v="7"/>
  </r>
  <r>
    <x v="144"/>
    <x v="1"/>
    <x v="0"/>
    <x v="0"/>
    <x v="2"/>
    <x v="2"/>
    <n v="20"/>
    <n v="16"/>
  </r>
  <r>
    <x v="145"/>
    <x v="2"/>
    <x v="2"/>
    <x v="0"/>
    <x v="3"/>
    <x v="4"/>
    <n v="20"/>
    <n v="16"/>
  </r>
  <r>
    <x v="146"/>
    <x v="3"/>
    <x v="1"/>
    <x v="0"/>
    <x v="0"/>
    <x v="3"/>
    <n v="20"/>
    <n v="18"/>
  </r>
  <r>
    <x v="147"/>
    <x v="2"/>
    <x v="1"/>
    <x v="1"/>
    <x v="3"/>
    <x v="3"/>
    <n v="50"/>
    <n v="5"/>
  </r>
  <r>
    <x v="148"/>
    <x v="3"/>
    <x v="0"/>
    <x v="2"/>
    <x v="3"/>
    <x v="4"/>
    <n v="0"/>
    <n v="7"/>
  </r>
  <r>
    <x v="149"/>
    <x v="1"/>
    <x v="3"/>
    <x v="0"/>
    <x v="1"/>
    <x v="0"/>
    <n v="20"/>
    <n v="19"/>
  </r>
  <r>
    <x v="150"/>
    <x v="2"/>
    <x v="0"/>
    <x v="0"/>
    <x v="2"/>
    <x v="3"/>
    <n v="20"/>
    <n v="12"/>
  </r>
  <r>
    <x v="151"/>
    <x v="2"/>
    <x v="4"/>
    <x v="2"/>
    <x v="3"/>
    <x v="2"/>
    <n v="0"/>
    <n v="20"/>
  </r>
  <r>
    <x v="152"/>
    <x v="1"/>
    <x v="1"/>
    <x v="1"/>
    <x v="1"/>
    <x v="4"/>
    <n v="50"/>
    <n v="16"/>
  </r>
  <r>
    <x v="153"/>
    <x v="3"/>
    <x v="3"/>
    <x v="0"/>
    <x v="2"/>
    <x v="1"/>
    <n v="20"/>
    <n v="1"/>
  </r>
  <r>
    <x v="154"/>
    <x v="1"/>
    <x v="0"/>
    <x v="2"/>
    <x v="3"/>
    <x v="2"/>
    <n v="0"/>
    <n v="13"/>
  </r>
  <r>
    <x v="155"/>
    <x v="3"/>
    <x v="0"/>
    <x v="2"/>
    <x v="3"/>
    <x v="4"/>
    <n v="0"/>
    <n v="14"/>
  </r>
  <r>
    <x v="156"/>
    <x v="4"/>
    <x v="3"/>
    <x v="2"/>
    <x v="3"/>
    <x v="3"/>
    <n v="0"/>
    <n v="0"/>
  </r>
  <r>
    <x v="157"/>
    <x v="2"/>
    <x v="4"/>
    <x v="2"/>
    <x v="1"/>
    <x v="1"/>
    <n v="0"/>
    <n v="10"/>
  </r>
  <r>
    <x v="158"/>
    <x v="1"/>
    <x v="1"/>
    <x v="0"/>
    <x v="0"/>
    <x v="2"/>
    <n v="20"/>
    <n v="10"/>
  </r>
  <r>
    <x v="159"/>
    <x v="0"/>
    <x v="2"/>
    <x v="1"/>
    <x v="2"/>
    <x v="2"/>
    <n v="50"/>
    <n v="15"/>
  </r>
  <r>
    <x v="160"/>
    <x v="0"/>
    <x v="3"/>
    <x v="2"/>
    <x v="3"/>
    <x v="4"/>
    <n v="0"/>
    <n v="16"/>
  </r>
  <r>
    <x v="161"/>
    <x v="2"/>
    <x v="1"/>
    <x v="0"/>
    <x v="3"/>
    <x v="4"/>
    <n v="20"/>
    <n v="3"/>
  </r>
  <r>
    <x v="162"/>
    <x v="4"/>
    <x v="1"/>
    <x v="2"/>
    <x v="3"/>
    <x v="0"/>
    <n v="0"/>
    <n v="1"/>
  </r>
  <r>
    <x v="163"/>
    <x v="1"/>
    <x v="3"/>
    <x v="1"/>
    <x v="1"/>
    <x v="3"/>
    <n v="50"/>
    <n v="14"/>
  </r>
  <r>
    <x v="164"/>
    <x v="4"/>
    <x v="4"/>
    <x v="0"/>
    <x v="2"/>
    <x v="4"/>
    <n v="20"/>
    <n v="18"/>
  </r>
  <r>
    <x v="165"/>
    <x v="0"/>
    <x v="0"/>
    <x v="2"/>
    <x v="1"/>
    <x v="0"/>
    <n v="0"/>
    <n v="20"/>
  </r>
  <r>
    <x v="166"/>
    <x v="3"/>
    <x v="0"/>
    <x v="2"/>
    <x v="2"/>
    <x v="1"/>
    <n v="0"/>
    <n v="11"/>
  </r>
  <r>
    <x v="167"/>
    <x v="1"/>
    <x v="0"/>
    <x v="0"/>
    <x v="2"/>
    <x v="0"/>
    <n v="20"/>
    <n v="17"/>
  </r>
  <r>
    <x v="168"/>
    <x v="0"/>
    <x v="1"/>
    <x v="1"/>
    <x v="1"/>
    <x v="1"/>
    <n v="50"/>
    <n v="19"/>
  </r>
  <r>
    <x v="169"/>
    <x v="2"/>
    <x v="2"/>
    <x v="0"/>
    <x v="1"/>
    <x v="1"/>
    <n v="20"/>
    <n v="1"/>
  </r>
  <r>
    <x v="170"/>
    <x v="2"/>
    <x v="3"/>
    <x v="2"/>
    <x v="0"/>
    <x v="0"/>
    <n v="0"/>
    <n v="4"/>
  </r>
  <r>
    <x v="171"/>
    <x v="3"/>
    <x v="2"/>
    <x v="2"/>
    <x v="3"/>
    <x v="4"/>
    <n v="0"/>
    <n v="10"/>
  </r>
  <r>
    <x v="172"/>
    <x v="0"/>
    <x v="4"/>
    <x v="0"/>
    <x v="0"/>
    <x v="2"/>
    <n v="20"/>
    <n v="0"/>
  </r>
  <r>
    <x v="173"/>
    <x v="3"/>
    <x v="2"/>
    <x v="2"/>
    <x v="2"/>
    <x v="4"/>
    <n v="0"/>
    <n v="7"/>
  </r>
  <r>
    <x v="174"/>
    <x v="2"/>
    <x v="0"/>
    <x v="1"/>
    <x v="0"/>
    <x v="1"/>
    <n v="50"/>
    <n v="19"/>
  </r>
  <r>
    <x v="175"/>
    <x v="3"/>
    <x v="0"/>
    <x v="2"/>
    <x v="3"/>
    <x v="4"/>
    <n v="0"/>
    <n v="5"/>
  </r>
  <r>
    <x v="176"/>
    <x v="1"/>
    <x v="0"/>
    <x v="1"/>
    <x v="1"/>
    <x v="4"/>
    <n v="50"/>
    <n v="20"/>
  </r>
  <r>
    <x v="177"/>
    <x v="4"/>
    <x v="3"/>
    <x v="1"/>
    <x v="1"/>
    <x v="2"/>
    <n v="50"/>
    <n v="2"/>
  </r>
  <r>
    <x v="178"/>
    <x v="0"/>
    <x v="3"/>
    <x v="2"/>
    <x v="3"/>
    <x v="4"/>
    <n v="0"/>
    <n v="6"/>
  </r>
  <r>
    <x v="179"/>
    <x v="1"/>
    <x v="4"/>
    <x v="0"/>
    <x v="2"/>
    <x v="3"/>
    <n v="20"/>
    <n v="1"/>
  </r>
  <r>
    <x v="180"/>
    <x v="2"/>
    <x v="2"/>
    <x v="1"/>
    <x v="3"/>
    <x v="3"/>
    <n v="50"/>
    <n v="0"/>
  </r>
  <r>
    <x v="181"/>
    <x v="4"/>
    <x v="2"/>
    <x v="0"/>
    <x v="3"/>
    <x v="0"/>
    <n v="20"/>
    <n v="15"/>
  </r>
  <r>
    <x v="182"/>
    <x v="4"/>
    <x v="0"/>
    <x v="1"/>
    <x v="0"/>
    <x v="3"/>
    <n v="50"/>
    <n v="0"/>
  </r>
  <r>
    <x v="183"/>
    <x v="4"/>
    <x v="4"/>
    <x v="2"/>
    <x v="0"/>
    <x v="4"/>
    <n v="0"/>
    <n v="12"/>
  </r>
  <r>
    <x v="184"/>
    <x v="1"/>
    <x v="1"/>
    <x v="0"/>
    <x v="3"/>
    <x v="1"/>
    <n v="20"/>
    <n v="2"/>
  </r>
  <r>
    <x v="185"/>
    <x v="3"/>
    <x v="2"/>
    <x v="1"/>
    <x v="1"/>
    <x v="4"/>
    <n v="50"/>
    <n v="20"/>
  </r>
  <r>
    <x v="186"/>
    <x v="2"/>
    <x v="1"/>
    <x v="2"/>
    <x v="0"/>
    <x v="2"/>
    <n v="0"/>
    <n v="20"/>
  </r>
  <r>
    <x v="187"/>
    <x v="4"/>
    <x v="2"/>
    <x v="1"/>
    <x v="0"/>
    <x v="1"/>
    <n v="50"/>
    <n v="5"/>
  </r>
  <r>
    <x v="188"/>
    <x v="2"/>
    <x v="4"/>
    <x v="0"/>
    <x v="1"/>
    <x v="3"/>
    <n v="20"/>
    <n v="11"/>
  </r>
  <r>
    <x v="189"/>
    <x v="2"/>
    <x v="1"/>
    <x v="2"/>
    <x v="3"/>
    <x v="1"/>
    <n v="0"/>
    <n v="2"/>
  </r>
  <r>
    <x v="190"/>
    <x v="4"/>
    <x v="1"/>
    <x v="2"/>
    <x v="0"/>
    <x v="3"/>
    <n v="0"/>
    <n v="8"/>
  </r>
  <r>
    <x v="191"/>
    <x v="0"/>
    <x v="1"/>
    <x v="0"/>
    <x v="2"/>
    <x v="3"/>
    <n v="20"/>
    <n v="12"/>
  </r>
  <r>
    <x v="192"/>
    <x v="2"/>
    <x v="3"/>
    <x v="0"/>
    <x v="3"/>
    <x v="4"/>
    <n v="20"/>
    <n v="14"/>
  </r>
  <r>
    <x v="193"/>
    <x v="4"/>
    <x v="1"/>
    <x v="2"/>
    <x v="0"/>
    <x v="3"/>
    <n v="0"/>
    <n v="8"/>
  </r>
  <r>
    <x v="194"/>
    <x v="2"/>
    <x v="1"/>
    <x v="0"/>
    <x v="3"/>
    <x v="4"/>
    <n v="20"/>
    <n v="20"/>
  </r>
  <r>
    <x v="195"/>
    <x v="2"/>
    <x v="4"/>
    <x v="0"/>
    <x v="1"/>
    <x v="3"/>
    <n v="20"/>
    <n v="5"/>
  </r>
  <r>
    <x v="196"/>
    <x v="2"/>
    <x v="2"/>
    <x v="0"/>
    <x v="1"/>
    <x v="2"/>
    <n v="20"/>
    <n v="4"/>
  </r>
  <r>
    <x v="197"/>
    <x v="2"/>
    <x v="1"/>
    <x v="0"/>
    <x v="2"/>
    <x v="4"/>
    <n v="20"/>
    <n v="19"/>
  </r>
  <r>
    <x v="198"/>
    <x v="1"/>
    <x v="1"/>
    <x v="2"/>
    <x v="1"/>
    <x v="1"/>
    <n v="0"/>
    <n v="1"/>
  </r>
  <r>
    <x v="199"/>
    <x v="2"/>
    <x v="3"/>
    <x v="1"/>
    <x v="2"/>
    <x v="1"/>
    <n v="50"/>
    <n v="0"/>
  </r>
  <r>
    <x v="200"/>
    <x v="4"/>
    <x v="4"/>
    <x v="0"/>
    <x v="1"/>
    <x v="4"/>
    <n v="20"/>
    <n v="8"/>
  </r>
  <r>
    <x v="201"/>
    <x v="0"/>
    <x v="0"/>
    <x v="0"/>
    <x v="3"/>
    <x v="1"/>
    <n v="20"/>
    <n v="17"/>
  </r>
  <r>
    <x v="202"/>
    <x v="4"/>
    <x v="2"/>
    <x v="1"/>
    <x v="1"/>
    <x v="0"/>
    <n v="50"/>
    <n v="0"/>
  </r>
  <r>
    <x v="203"/>
    <x v="0"/>
    <x v="4"/>
    <x v="0"/>
    <x v="0"/>
    <x v="3"/>
    <n v="20"/>
    <n v="17"/>
  </r>
  <r>
    <x v="204"/>
    <x v="3"/>
    <x v="1"/>
    <x v="2"/>
    <x v="1"/>
    <x v="4"/>
    <n v="0"/>
    <n v="12"/>
  </r>
  <r>
    <x v="205"/>
    <x v="2"/>
    <x v="1"/>
    <x v="1"/>
    <x v="1"/>
    <x v="2"/>
    <n v="50"/>
    <n v="20"/>
  </r>
  <r>
    <x v="206"/>
    <x v="4"/>
    <x v="2"/>
    <x v="0"/>
    <x v="0"/>
    <x v="2"/>
    <n v="20"/>
    <n v="17"/>
  </r>
  <r>
    <x v="207"/>
    <x v="2"/>
    <x v="4"/>
    <x v="2"/>
    <x v="1"/>
    <x v="4"/>
    <n v="0"/>
    <n v="9"/>
  </r>
  <r>
    <x v="208"/>
    <x v="1"/>
    <x v="0"/>
    <x v="2"/>
    <x v="0"/>
    <x v="1"/>
    <n v="0"/>
    <n v="19"/>
  </r>
  <r>
    <x v="209"/>
    <x v="1"/>
    <x v="0"/>
    <x v="1"/>
    <x v="2"/>
    <x v="3"/>
    <n v="50"/>
    <n v="2"/>
  </r>
  <r>
    <x v="210"/>
    <x v="2"/>
    <x v="4"/>
    <x v="1"/>
    <x v="3"/>
    <x v="4"/>
    <n v="50"/>
    <n v="4"/>
  </r>
  <r>
    <x v="211"/>
    <x v="2"/>
    <x v="3"/>
    <x v="1"/>
    <x v="3"/>
    <x v="2"/>
    <n v="50"/>
    <n v="0"/>
  </r>
  <r>
    <x v="212"/>
    <x v="0"/>
    <x v="1"/>
    <x v="1"/>
    <x v="1"/>
    <x v="3"/>
    <n v="50"/>
    <n v="13"/>
  </r>
  <r>
    <x v="213"/>
    <x v="3"/>
    <x v="4"/>
    <x v="2"/>
    <x v="1"/>
    <x v="0"/>
    <n v="0"/>
    <n v="6"/>
  </r>
  <r>
    <x v="214"/>
    <x v="3"/>
    <x v="2"/>
    <x v="0"/>
    <x v="0"/>
    <x v="0"/>
    <n v="20"/>
    <n v="13"/>
  </r>
  <r>
    <x v="215"/>
    <x v="3"/>
    <x v="0"/>
    <x v="2"/>
    <x v="3"/>
    <x v="4"/>
    <n v="0"/>
    <n v="12"/>
  </r>
  <r>
    <x v="216"/>
    <x v="0"/>
    <x v="4"/>
    <x v="1"/>
    <x v="2"/>
    <x v="4"/>
    <n v="50"/>
    <n v="9"/>
  </r>
  <r>
    <x v="217"/>
    <x v="1"/>
    <x v="4"/>
    <x v="1"/>
    <x v="1"/>
    <x v="3"/>
    <n v="50"/>
    <n v="18"/>
  </r>
  <r>
    <x v="218"/>
    <x v="3"/>
    <x v="0"/>
    <x v="0"/>
    <x v="3"/>
    <x v="4"/>
    <n v="20"/>
    <n v="9"/>
  </r>
  <r>
    <x v="219"/>
    <x v="2"/>
    <x v="3"/>
    <x v="0"/>
    <x v="0"/>
    <x v="1"/>
    <n v="20"/>
    <n v="0"/>
  </r>
  <r>
    <x v="220"/>
    <x v="3"/>
    <x v="4"/>
    <x v="2"/>
    <x v="2"/>
    <x v="4"/>
    <n v="0"/>
    <n v="6"/>
  </r>
  <r>
    <x v="221"/>
    <x v="4"/>
    <x v="3"/>
    <x v="2"/>
    <x v="0"/>
    <x v="3"/>
    <n v="0"/>
    <n v="1"/>
  </r>
  <r>
    <x v="222"/>
    <x v="2"/>
    <x v="3"/>
    <x v="0"/>
    <x v="1"/>
    <x v="2"/>
    <n v="20"/>
    <n v="6"/>
  </r>
  <r>
    <x v="223"/>
    <x v="1"/>
    <x v="0"/>
    <x v="2"/>
    <x v="0"/>
    <x v="1"/>
    <n v="0"/>
    <n v="7"/>
  </r>
  <r>
    <x v="224"/>
    <x v="0"/>
    <x v="2"/>
    <x v="0"/>
    <x v="1"/>
    <x v="2"/>
    <n v="20"/>
    <n v="5"/>
  </r>
  <r>
    <x v="225"/>
    <x v="0"/>
    <x v="3"/>
    <x v="1"/>
    <x v="2"/>
    <x v="2"/>
    <n v="50"/>
    <n v="4"/>
  </r>
  <r>
    <x v="226"/>
    <x v="3"/>
    <x v="1"/>
    <x v="1"/>
    <x v="3"/>
    <x v="3"/>
    <n v="50"/>
    <n v="19"/>
  </r>
  <r>
    <x v="227"/>
    <x v="0"/>
    <x v="2"/>
    <x v="0"/>
    <x v="1"/>
    <x v="3"/>
    <n v="20"/>
    <n v="2"/>
  </r>
  <r>
    <x v="228"/>
    <x v="2"/>
    <x v="2"/>
    <x v="1"/>
    <x v="1"/>
    <x v="1"/>
    <n v="50"/>
    <n v="19"/>
  </r>
  <r>
    <x v="229"/>
    <x v="4"/>
    <x v="0"/>
    <x v="2"/>
    <x v="0"/>
    <x v="3"/>
    <n v="0"/>
    <n v="12"/>
  </r>
  <r>
    <x v="230"/>
    <x v="3"/>
    <x v="1"/>
    <x v="0"/>
    <x v="3"/>
    <x v="1"/>
    <n v="20"/>
    <n v="2"/>
  </r>
  <r>
    <x v="231"/>
    <x v="0"/>
    <x v="4"/>
    <x v="2"/>
    <x v="2"/>
    <x v="4"/>
    <n v="0"/>
    <n v="14"/>
  </r>
  <r>
    <x v="232"/>
    <x v="3"/>
    <x v="1"/>
    <x v="2"/>
    <x v="1"/>
    <x v="0"/>
    <n v="0"/>
    <n v="13"/>
  </r>
  <r>
    <x v="233"/>
    <x v="0"/>
    <x v="4"/>
    <x v="2"/>
    <x v="1"/>
    <x v="0"/>
    <n v="0"/>
    <n v="5"/>
  </r>
  <r>
    <x v="234"/>
    <x v="1"/>
    <x v="0"/>
    <x v="1"/>
    <x v="1"/>
    <x v="1"/>
    <n v="50"/>
    <n v="20"/>
  </r>
  <r>
    <x v="235"/>
    <x v="4"/>
    <x v="2"/>
    <x v="0"/>
    <x v="3"/>
    <x v="0"/>
    <n v="20"/>
    <n v="6"/>
  </r>
  <r>
    <x v="236"/>
    <x v="2"/>
    <x v="0"/>
    <x v="2"/>
    <x v="2"/>
    <x v="4"/>
    <n v="0"/>
    <n v="10"/>
  </r>
  <r>
    <x v="237"/>
    <x v="2"/>
    <x v="2"/>
    <x v="1"/>
    <x v="3"/>
    <x v="4"/>
    <n v="50"/>
    <n v="18"/>
  </r>
  <r>
    <x v="238"/>
    <x v="0"/>
    <x v="0"/>
    <x v="1"/>
    <x v="0"/>
    <x v="1"/>
    <n v="50"/>
    <n v="13"/>
  </r>
  <r>
    <x v="239"/>
    <x v="0"/>
    <x v="2"/>
    <x v="2"/>
    <x v="0"/>
    <x v="0"/>
    <n v="0"/>
    <n v="14"/>
  </r>
  <r>
    <x v="240"/>
    <x v="1"/>
    <x v="4"/>
    <x v="0"/>
    <x v="0"/>
    <x v="2"/>
    <n v="20"/>
    <n v="14"/>
  </r>
  <r>
    <x v="241"/>
    <x v="2"/>
    <x v="0"/>
    <x v="1"/>
    <x v="1"/>
    <x v="1"/>
    <n v="50"/>
    <n v="11"/>
  </r>
  <r>
    <x v="242"/>
    <x v="1"/>
    <x v="4"/>
    <x v="2"/>
    <x v="1"/>
    <x v="4"/>
    <n v="0"/>
    <n v="16"/>
  </r>
  <r>
    <x v="243"/>
    <x v="2"/>
    <x v="3"/>
    <x v="0"/>
    <x v="3"/>
    <x v="4"/>
    <n v="20"/>
    <n v="9"/>
  </r>
  <r>
    <x v="244"/>
    <x v="4"/>
    <x v="4"/>
    <x v="2"/>
    <x v="1"/>
    <x v="0"/>
    <n v="0"/>
    <n v="1"/>
  </r>
  <r>
    <x v="245"/>
    <x v="4"/>
    <x v="4"/>
    <x v="0"/>
    <x v="3"/>
    <x v="1"/>
    <n v="20"/>
    <n v="10"/>
  </r>
  <r>
    <x v="246"/>
    <x v="4"/>
    <x v="1"/>
    <x v="2"/>
    <x v="2"/>
    <x v="3"/>
    <n v="0"/>
    <n v="15"/>
  </r>
  <r>
    <x v="247"/>
    <x v="2"/>
    <x v="1"/>
    <x v="0"/>
    <x v="3"/>
    <x v="3"/>
    <n v="20"/>
    <n v="3"/>
  </r>
  <r>
    <x v="248"/>
    <x v="1"/>
    <x v="1"/>
    <x v="1"/>
    <x v="3"/>
    <x v="3"/>
    <n v="50"/>
    <n v="1"/>
  </r>
  <r>
    <x v="249"/>
    <x v="1"/>
    <x v="4"/>
    <x v="2"/>
    <x v="3"/>
    <x v="2"/>
    <n v="0"/>
    <n v="3"/>
  </r>
  <r>
    <x v="250"/>
    <x v="3"/>
    <x v="0"/>
    <x v="2"/>
    <x v="3"/>
    <x v="2"/>
    <n v="0"/>
    <n v="5"/>
  </r>
  <r>
    <x v="251"/>
    <x v="2"/>
    <x v="0"/>
    <x v="0"/>
    <x v="2"/>
    <x v="1"/>
    <n v="20"/>
    <n v="6"/>
  </r>
  <r>
    <x v="252"/>
    <x v="1"/>
    <x v="0"/>
    <x v="0"/>
    <x v="0"/>
    <x v="0"/>
    <n v="20"/>
    <n v="10"/>
  </r>
  <r>
    <x v="253"/>
    <x v="4"/>
    <x v="3"/>
    <x v="2"/>
    <x v="3"/>
    <x v="2"/>
    <n v="0"/>
    <n v="18"/>
  </r>
  <r>
    <x v="254"/>
    <x v="0"/>
    <x v="0"/>
    <x v="0"/>
    <x v="2"/>
    <x v="4"/>
    <n v="20"/>
    <n v="13"/>
  </r>
  <r>
    <x v="255"/>
    <x v="4"/>
    <x v="0"/>
    <x v="0"/>
    <x v="3"/>
    <x v="2"/>
    <n v="20"/>
    <n v="6"/>
  </r>
  <r>
    <x v="256"/>
    <x v="3"/>
    <x v="1"/>
    <x v="1"/>
    <x v="3"/>
    <x v="3"/>
    <n v="50"/>
    <n v="9"/>
  </r>
  <r>
    <x v="257"/>
    <x v="4"/>
    <x v="4"/>
    <x v="2"/>
    <x v="1"/>
    <x v="2"/>
    <n v="0"/>
    <n v="1"/>
  </r>
  <r>
    <x v="258"/>
    <x v="4"/>
    <x v="4"/>
    <x v="1"/>
    <x v="3"/>
    <x v="4"/>
    <n v="50"/>
    <n v="15"/>
  </r>
  <r>
    <x v="259"/>
    <x v="0"/>
    <x v="3"/>
    <x v="0"/>
    <x v="2"/>
    <x v="1"/>
    <n v="20"/>
    <n v="2"/>
  </r>
  <r>
    <x v="260"/>
    <x v="3"/>
    <x v="1"/>
    <x v="1"/>
    <x v="0"/>
    <x v="2"/>
    <n v="50"/>
    <n v="2"/>
  </r>
  <r>
    <x v="261"/>
    <x v="2"/>
    <x v="1"/>
    <x v="2"/>
    <x v="1"/>
    <x v="4"/>
    <n v="0"/>
    <n v="12"/>
  </r>
  <r>
    <x v="262"/>
    <x v="2"/>
    <x v="3"/>
    <x v="1"/>
    <x v="3"/>
    <x v="4"/>
    <n v="50"/>
    <n v="8"/>
  </r>
  <r>
    <x v="263"/>
    <x v="2"/>
    <x v="2"/>
    <x v="2"/>
    <x v="1"/>
    <x v="2"/>
    <n v="0"/>
    <n v="7"/>
  </r>
  <r>
    <x v="264"/>
    <x v="4"/>
    <x v="0"/>
    <x v="0"/>
    <x v="2"/>
    <x v="3"/>
    <n v="20"/>
    <n v="18"/>
  </r>
  <r>
    <x v="265"/>
    <x v="4"/>
    <x v="0"/>
    <x v="0"/>
    <x v="3"/>
    <x v="4"/>
    <n v="20"/>
    <n v="7"/>
  </r>
  <r>
    <x v="266"/>
    <x v="4"/>
    <x v="1"/>
    <x v="1"/>
    <x v="2"/>
    <x v="4"/>
    <n v="50"/>
    <n v="14"/>
  </r>
  <r>
    <x v="267"/>
    <x v="2"/>
    <x v="0"/>
    <x v="0"/>
    <x v="0"/>
    <x v="3"/>
    <n v="20"/>
    <n v="7"/>
  </r>
  <r>
    <x v="268"/>
    <x v="3"/>
    <x v="4"/>
    <x v="2"/>
    <x v="0"/>
    <x v="2"/>
    <n v="0"/>
    <n v="6"/>
  </r>
  <r>
    <x v="269"/>
    <x v="3"/>
    <x v="0"/>
    <x v="0"/>
    <x v="1"/>
    <x v="0"/>
    <n v="20"/>
    <n v="0"/>
  </r>
  <r>
    <x v="270"/>
    <x v="1"/>
    <x v="2"/>
    <x v="0"/>
    <x v="1"/>
    <x v="1"/>
    <n v="20"/>
    <n v="16"/>
  </r>
  <r>
    <x v="271"/>
    <x v="0"/>
    <x v="0"/>
    <x v="1"/>
    <x v="3"/>
    <x v="1"/>
    <n v="50"/>
    <n v="7"/>
  </r>
  <r>
    <x v="272"/>
    <x v="1"/>
    <x v="1"/>
    <x v="1"/>
    <x v="0"/>
    <x v="0"/>
    <n v="50"/>
    <n v="14"/>
  </r>
  <r>
    <x v="273"/>
    <x v="3"/>
    <x v="3"/>
    <x v="0"/>
    <x v="1"/>
    <x v="2"/>
    <n v="20"/>
    <n v="6"/>
  </r>
  <r>
    <x v="274"/>
    <x v="4"/>
    <x v="4"/>
    <x v="0"/>
    <x v="1"/>
    <x v="4"/>
    <n v="20"/>
    <n v="12"/>
  </r>
  <r>
    <x v="275"/>
    <x v="3"/>
    <x v="4"/>
    <x v="1"/>
    <x v="0"/>
    <x v="0"/>
    <n v="50"/>
    <n v="5"/>
  </r>
  <r>
    <x v="276"/>
    <x v="2"/>
    <x v="1"/>
    <x v="1"/>
    <x v="3"/>
    <x v="1"/>
    <n v="50"/>
    <n v="18"/>
  </r>
  <r>
    <x v="277"/>
    <x v="1"/>
    <x v="4"/>
    <x v="0"/>
    <x v="0"/>
    <x v="3"/>
    <n v="20"/>
    <n v="16"/>
  </r>
  <r>
    <x v="278"/>
    <x v="2"/>
    <x v="4"/>
    <x v="1"/>
    <x v="1"/>
    <x v="2"/>
    <n v="50"/>
    <n v="1"/>
  </r>
  <r>
    <x v="279"/>
    <x v="4"/>
    <x v="0"/>
    <x v="2"/>
    <x v="0"/>
    <x v="1"/>
    <n v="0"/>
    <n v="6"/>
  </r>
  <r>
    <x v="280"/>
    <x v="0"/>
    <x v="3"/>
    <x v="2"/>
    <x v="2"/>
    <x v="0"/>
    <n v="0"/>
    <n v="11"/>
  </r>
  <r>
    <x v="281"/>
    <x v="1"/>
    <x v="4"/>
    <x v="0"/>
    <x v="2"/>
    <x v="3"/>
    <n v="20"/>
    <n v="9"/>
  </r>
  <r>
    <x v="282"/>
    <x v="4"/>
    <x v="0"/>
    <x v="2"/>
    <x v="3"/>
    <x v="2"/>
    <n v="0"/>
    <n v="12"/>
  </r>
  <r>
    <x v="283"/>
    <x v="2"/>
    <x v="1"/>
    <x v="0"/>
    <x v="2"/>
    <x v="4"/>
    <n v="20"/>
    <n v="12"/>
  </r>
  <r>
    <x v="284"/>
    <x v="2"/>
    <x v="1"/>
    <x v="0"/>
    <x v="2"/>
    <x v="0"/>
    <n v="20"/>
    <n v="9"/>
  </r>
  <r>
    <x v="285"/>
    <x v="1"/>
    <x v="3"/>
    <x v="0"/>
    <x v="2"/>
    <x v="3"/>
    <n v="20"/>
    <n v="4"/>
  </r>
  <r>
    <x v="286"/>
    <x v="1"/>
    <x v="0"/>
    <x v="0"/>
    <x v="0"/>
    <x v="4"/>
    <n v="20"/>
    <n v="16"/>
  </r>
  <r>
    <x v="287"/>
    <x v="0"/>
    <x v="0"/>
    <x v="1"/>
    <x v="0"/>
    <x v="1"/>
    <n v="50"/>
    <n v="10"/>
  </r>
  <r>
    <x v="288"/>
    <x v="3"/>
    <x v="4"/>
    <x v="1"/>
    <x v="1"/>
    <x v="1"/>
    <n v="50"/>
    <n v="6"/>
  </r>
  <r>
    <x v="289"/>
    <x v="0"/>
    <x v="1"/>
    <x v="0"/>
    <x v="2"/>
    <x v="1"/>
    <n v="20"/>
    <n v="6"/>
  </r>
  <r>
    <x v="290"/>
    <x v="3"/>
    <x v="4"/>
    <x v="2"/>
    <x v="3"/>
    <x v="3"/>
    <n v="0"/>
    <n v="11"/>
  </r>
  <r>
    <x v="291"/>
    <x v="4"/>
    <x v="3"/>
    <x v="2"/>
    <x v="2"/>
    <x v="0"/>
    <n v="0"/>
    <n v="14"/>
  </r>
  <r>
    <x v="292"/>
    <x v="4"/>
    <x v="3"/>
    <x v="2"/>
    <x v="0"/>
    <x v="4"/>
    <n v="0"/>
    <n v="1"/>
  </r>
  <r>
    <x v="293"/>
    <x v="2"/>
    <x v="1"/>
    <x v="2"/>
    <x v="3"/>
    <x v="1"/>
    <n v="0"/>
    <n v="16"/>
  </r>
  <r>
    <x v="294"/>
    <x v="1"/>
    <x v="3"/>
    <x v="1"/>
    <x v="1"/>
    <x v="3"/>
    <n v="50"/>
    <n v="7"/>
  </r>
  <r>
    <x v="295"/>
    <x v="2"/>
    <x v="2"/>
    <x v="0"/>
    <x v="1"/>
    <x v="3"/>
    <n v="20"/>
    <n v="14"/>
  </r>
  <r>
    <x v="296"/>
    <x v="1"/>
    <x v="0"/>
    <x v="2"/>
    <x v="1"/>
    <x v="4"/>
    <n v="0"/>
    <n v="13"/>
  </r>
  <r>
    <x v="297"/>
    <x v="2"/>
    <x v="4"/>
    <x v="1"/>
    <x v="1"/>
    <x v="4"/>
    <n v="50"/>
    <n v="18"/>
  </r>
  <r>
    <x v="298"/>
    <x v="2"/>
    <x v="2"/>
    <x v="0"/>
    <x v="3"/>
    <x v="1"/>
    <n v="20"/>
    <n v="10"/>
  </r>
  <r>
    <x v="299"/>
    <x v="0"/>
    <x v="1"/>
    <x v="0"/>
    <x v="3"/>
    <x v="2"/>
    <n v="20"/>
    <n v="17"/>
  </r>
  <r>
    <x v="300"/>
    <x v="3"/>
    <x v="0"/>
    <x v="0"/>
    <x v="0"/>
    <x v="2"/>
    <n v="20"/>
    <n v="20"/>
  </r>
  <r>
    <x v="301"/>
    <x v="1"/>
    <x v="1"/>
    <x v="1"/>
    <x v="0"/>
    <x v="4"/>
    <n v="50"/>
    <n v="4"/>
  </r>
  <r>
    <x v="302"/>
    <x v="4"/>
    <x v="2"/>
    <x v="1"/>
    <x v="0"/>
    <x v="2"/>
    <n v="50"/>
    <n v="18"/>
  </r>
  <r>
    <x v="303"/>
    <x v="3"/>
    <x v="3"/>
    <x v="1"/>
    <x v="2"/>
    <x v="3"/>
    <n v="50"/>
    <n v="11"/>
  </r>
  <r>
    <x v="304"/>
    <x v="4"/>
    <x v="3"/>
    <x v="2"/>
    <x v="3"/>
    <x v="3"/>
    <n v="0"/>
    <n v="3"/>
  </r>
  <r>
    <x v="305"/>
    <x v="3"/>
    <x v="4"/>
    <x v="0"/>
    <x v="2"/>
    <x v="1"/>
    <n v="20"/>
    <n v="20"/>
  </r>
  <r>
    <x v="306"/>
    <x v="4"/>
    <x v="2"/>
    <x v="0"/>
    <x v="2"/>
    <x v="4"/>
    <n v="20"/>
    <n v="10"/>
  </r>
  <r>
    <x v="307"/>
    <x v="1"/>
    <x v="3"/>
    <x v="1"/>
    <x v="2"/>
    <x v="0"/>
    <n v="50"/>
    <n v="13"/>
  </r>
  <r>
    <x v="308"/>
    <x v="0"/>
    <x v="4"/>
    <x v="0"/>
    <x v="2"/>
    <x v="4"/>
    <n v="20"/>
    <n v="6"/>
  </r>
  <r>
    <x v="309"/>
    <x v="4"/>
    <x v="3"/>
    <x v="1"/>
    <x v="2"/>
    <x v="1"/>
    <n v="50"/>
    <n v="14"/>
  </r>
  <r>
    <x v="310"/>
    <x v="0"/>
    <x v="4"/>
    <x v="1"/>
    <x v="0"/>
    <x v="2"/>
    <n v="50"/>
    <n v="4"/>
  </r>
  <r>
    <x v="311"/>
    <x v="2"/>
    <x v="1"/>
    <x v="1"/>
    <x v="0"/>
    <x v="4"/>
    <n v="50"/>
    <n v="8"/>
  </r>
  <r>
    <x v="312"/>
    <x v="1"/>
    <x v="1"/>
    <x v="2"/>
    <x v="0"/>
    <x v="4"/>
    <n v="0"/>
    <n v="17"/>
  </r>
  <r>
    <x v="313"/>
    <x v="4"/>
    <x v="4"/>
    <x v="0"/>
    <x v="2"/>
    <x v="3"/>
    <n v="20"/>
    <n v="4"/>
  </r>
  <r>
    <x v="314"/>
    <x v="4"/>
    <x v="3"/>
    <x v="0"/>
    <x v="0"/>
    <x v="3"/>
    <n v="20"/>
    <n v="18"/>
  </r>
  <r>
    <x v="315"/>
    <x v="0"/>
    <x v="4"/>
    <x v="2"/>
    <x v="2"/>
    <x v="3"/>
    <n v="0"/>
    <n v="13"/>
  </r>
  <r>
    <x v="316"/>
    <x v="1"/>
    <x v="1"/>
    <x v="2"/>
    <x v="1"/>
    <x v="4"/>
    <n v="0"/>
    <n v="15"/>
  </r>
  <r>
    <x v="317"/>
    <x v="3"/>
    <x v="4"/>
    <x v="1"/>
    <x v="1"/>
    <x v="3"/>
    <n v="50"/>
    <n v="13"/>
  </r>
  <r>
    <x v="318"/>
    <x v="3"/>
    <x v="2"/>
    <x v="0"/>
    <x v="2"/>
    <x v="3"/>
    <n v="20"/>
    <n v="8"/>
  </r>
  <r>
    <x v="319"/>
    <x v="2"/>
    <x v="3"/>
    <x v="2"/>
    <x v="3"/>
    <x v="0"/>
    <n v="0"/>
    <n v="20"/>
  </r>
  <r>
    <x v="320"/>
    <x v="0"/>
    <x v="0"/>
    <x v="0"/>
    <x v="0"/>
    <x v="3"/>
    <n v="20"/>
    <n v="17"/>
  </r>
  <r>
    <x v="321"/>
    <x v="2"/>
    <x v="3"/>
    <x v="2"/>
    <x v="1"/>
    <x v="1"/>
    <n v="0"/>
    <n v="5"/>
  </r>
  <r>
    <x v="322"/>
    <x v="1"/>
    <x v="3"/>
    <x v="2"/>
    <x v="0"/>
    <x v="0"/>
    <n v="0"/>
    <n v="12"/>
  </r>
  <r>
    <x v="323"/>
    <x v="4"/>
    <x v="3"/>
    <x v="2"/>
    <x v="3"/>
    <x v="4"/>
    <n v="0"/>
    <n v="19"/>
  </r>
  <r>
    <x v="324"/>
    <x v="0"/>
    <x v="2"/>
    <x v="1"/>
    <x v="0"/>
    <x v="4"/>
    <n v="50"/>
    <n v="17"/>
  </r>
  <r>
    <x v="325"/>
    <x v="3"/>
    <x v="1"/>
    <x v="2"/>
    <x v="3"/>
    <x v="0"/>
    <n v="0"/>
    <n v="3"/>
  </r>
  <r>
    <x v="326"/>
    <x v="4"/>
    <x v="1"/>
    <x v="2"/>
    <x v="3"/>
    <x v="3"/>
    <n v="0"/>
    <n v="5"/>
  </r>
  <r>
    <x v="327"/>
    <x v="3"/>
    <x v="4"/>
    <x v="2"/>
    <x v="0"/>
    <x v="3"/>
    <n v="0"/>
    <n v="7"/>
  </r>
  <r>
    <x v="328"/>
    <x v="2"/>
    <x v="4"/>
    <x v="2"/>
    <x v="1"/>
    <x v="4"/>
    <n v="0"/>
    <n v="19"/>
  </r>
  <r>
    <x v="329"/>
    <x v="2"/>
    <x v="0"/>
    <x v="0"/>
    <x v="2"/>
    <x v="1"/>
    <n v="20"/>
    <n v="15"/>
  </r>
  <r>
    <x v="330"/>
    <x v="1"/>
    <x v="4"/>
    <x v="1"/>
    <x v="2"/>
    <x v="3"/>
    <n v="50"/>
    <n v="1"/>
  </r>
  <r>
    <x v="331"/>
    <x v="2"/>
    <x v="4"/>
    <x v="2"/>
    <x v="2"/>
    <x v="4"/>
    <n v="0"/>
    <n v="12"/>
  </r>
  <r>
    <x v="332"/>
    <x v="4"/>
    <x v="3"/>
    <x v="0"/>
    <x v="1"/>
    <x v="4"/>
    <n v="20"/>
    <n v="15"/>
  </r>
  <r>
    <x v="333"/>
    <x v="1"/>
    <x v="0"/>
    <x v="1"/>
    <x v="0"/>
    <x v="4"/>
    <n v="50"/>
    <n v="11"/>
  </r>
  <r>
    <x v="334"/>
    <x v="3"/>
    <x v="0"/>
    <x v="2"/>
    <x v="3"/>
    <x v="3"/>
    <n v="0"/>
    <n v="8"/>
  </r>
  <r>
    <x v="335"/>
    <x v="1"/>
    <x v="0"/>
    <x v="1"/>
    <x v="0"/>
    <x v="1"/>
    <n v="50"/>
    <n v="1"/>
  </r>
  <r>
    <x v="336"/>
    <x v="2"/>
    <x v="3"/>
    <x v="2"/>
    <x v="1"/>
    <x v="3"/>
    <n v="0"/>
    <n v="9"/>
  </r>
  <r>
    <x v="337"/>
    <x v="2"/>
    <x v="1"/>
    <x v="1"/>
    <x v="3"/>
    <x v="1"/>
    <n v="50"/>
    <n v="18"/>
  </r>
  <r>
    <x v="338"/>
    <x v="2"/>
    <x v="2"/>
    <x v="1"/>
    <x v="0"/>
    <x v="1"/>
    <n v="50"/>
    <n v="19"/>
  </r>
  <r>
    <x v="339"/>
    <x v="2"/>
    <x v="0"/>
    <x v="2"/>
    <x v="2"/>
    <x v="3"/>
    <n v="0"/>
    <n v="5"/>
  </r>
  <r>
    <x v="340"/>
    <x v="4"/>
    <x v="4"/>
    <x v="2"/>
    <x v="1"/>
    <x v="3"/>
    <n v="0"/>
    <n v="2"/>
  </r>
  <r>
    <x v="341"/>
    <x v="3"/>
    <x v="2"/>
    <x v="1"/>
    <x v="1"/>
    <x v="3"/>
    <n v="50"/>
    <n v="16"/>
  </r>
  <r>
    <x v="342"/>
    <x v="3"/>
    <x v="2"/>
    <x v="1"/>
    <x v="2"/>
    <x v="2"/>
    <n v="50"/>
    <n v="10"/>
  </r>
  <r>
    <x v="343"/>
    <x v="2"/>
    <x v="1"/>
    <x v="2"/>
    <x v="1"/>
    <x v="0"/>
    <n v="0"/>
    <n v="6"/>
  </r>
  <r>
    <x v="344"/>
    <x v="0"/>
    <x v="0"/>
    <x v="0"/>
    <x v="0"/>
    <x v="3"/>
    <n v="20"/>
    <n v="17"/>
  </r>
  <r>
    <x v="345"/>
    <x v="2"/>
    <x v="4"/>
    <x v="0"/>
    <x v="1"/>
    <x v="0"/>
    <n v="20"/>
    <n v="15"/>
  </r>
  <r>
    <x v="346"/>
    <x v="1"/>
    <x v="0"/>
    <x v="2"/>
    <x v="3"/>
    <x v="3"/>
    <n v="0"/>
    <n v="19"/>
  </r>
  <r>
    <x v="347"/>
    <x v="4"/>
    <x v="0"/>
    <x v="2"/>
    <x v="0"/>
    <x v="3"/>
    <n v="0"/>
    <n v="2"/>
  </r>
  <r>
    <x v="348"/>
    <x v="3"/>
    <x v="0"/>
    <x v="2"/>
    <x v="3"/>
    <x v="0"/>
    <n v="0"/>
    <n v="13"/>
  </r>
  <r>
    <x v="349"/>
    <x v="4"/>
    <x v="0"/>
    <x v="0"/>
    <x v="3"/>
    <x v="2"/>
    <n v="20"/>
    <n v="19"/>
  </r>
  <r>
    <x v="350"/>
    <x v="0"/>
    <x v="0"/>
    <x v="0"/>
    <x v="1"/>
    <x v="1"/>
    <n v="20"/>
    <n v="5"/>
  </r>
  <r>
    <x v="351"/>
    <x v="4"/>
    <x v="0"/>
    <x v="2"/>
    <x v="2"/>
    <x v="4"/>
    <n v="0"/>
    <n v="11"/>
  </r>
  <r>
    <x v="352"/>
    <x v="1"/>
    <x v="4"/>
    <x v="0"/>
    <x v="3"/>
    <x v="2"/>
    <n v="20"/>
    <n v="19"/>
  </r>
  <r>
    <x v="353"/>
    <x v="1"/>
    <x v="3"/>
    <x v="1"/>
    <x v="3"/>
    <x v="1"/>
    <n v="50"/>
    <n v="19"/>
  </r>
  <r>
    <x v="354"/>
    <x v="3"/>
    <x v="0"/>
    <x v="2"/>
    <x v="3"/>
    <x v="3"/>
    <n v="0"/>
    <n v="17"/>
  </r>
  <r>
    <x v="355"/>
    <x v="3"/>
    <x v="4"/>
    <x v="1"/>
    <x v="2"/>
    <x v="2"/>
    <n v="50"/>
    <n v="9"/>
  </r>
  <r>
    <x v="356"/>
    <x v="4"/>
    <x v="4"/>
    <x v="1"/>
    <x v="3"/>
    <x v="4"/>
    <n v="50"/>
    <n v="4"/>
  </r>
  <r>
    <x v="357"/>
    <x v="4"/>
    <x v="4"/>
    <x v="2"/>
    <x v="1"/>
    <x v="3"/>
    <n v="0"/>
    <n v="2"/>
  </r>
  <r>
    <x v="358"/>
    <x v="1"/>
    <x v="1"/>
    <x v="0"/>
    <x v="2"/>
    <x v="0"/>
    <n v="20"/>
    <n v="10"/>
  </r>
  <r>
    <x v="359"/>
    <x v="2"/>
    <x v="4"/>
    <x v="2"/>
    <x v="3"/>
    <x v="1"/>
    <n v="0"/>
    <n v="0"/>
  </r>
  <r>
    <x v="360"/>
    <x v="3"/>
    <x v="1"/>
    <x v="1"/>
    <x v="1"/>
    <x v="3"/>
    <n v="50"/>
    <n v="1"/>
  </r>
  <r>
    <x v="361"/>
    <x v="4"/>
    <x v="3"/>
    <x v="1"/>
    <x v="2"/>
    <x v="1"/>
    <n v="50"/>
    <n v="17"/>
  </r>
  <r>
    <x v="362"/>
    <x v="0"/>
    <x v="0"/>
    <x v="1"/>
    <x v="3"/>
    <x v="3"/>
    <n v="50"/>
    <n v="19"/>
  </r>
  <r>
    <x v="363"/>
    <x v="0"/>
    <x v="1"/>
    <x v="1"/>
    <x v="3"/>
    <x v="0"/>
    <n v="50"/>
    <n v="14"/>
  </r>
  <r>
    <x v="364"/>
    <x v="4"/>
    <x v="0"/>
    <x v="1"/>
    <x v="2"/>
    <x v="0"/>
    <n v="50"/>
    <n v="1"/>
  </r>
  <r>
    <x v="365"/>
    <x v="4"/>
    <x v="2"/>
    <x v="1"/>
    <x v="1"/>
    <x v="1"/>
    <n v="50"/>
    <n v="11"/>
  </r>
  <r>
    <x v="366"/>
    <x v="1"/>
    <x v="1"/>
    <x v="2"/>
    <x v="0"/>
    <x v="0"/>
    <n v="0"/>
    <n v="0"/>
  </r>
  <r>
    <x v="367"/>
    <x v="4"/>
    <x v="4"/>
    <x v="1"/>
    <x v="2"/>
    <x v="4"/>
    <n v="50"/>
    <n v="5"/>
  </r>
  <r>
    <x v="368"/>
    <x v="2"/>
    <x v="3"/>
    <x v="1"/>
    <x v="1"/>
    <x v="1"/>
    <n v="50"/>
    <n v="20"/>
  </r>
  <r>
    <x v="369"/>
    <x v="1"/>
    <x v="3"/>
    <x v="0"/>
    <x v="2"/>
    <x v="3"/>
    <n v="20"/>
    <n v="18"/>
  </r>
  <r>
    <x v="370"/>
    <x v="0"/>
    <x v="1"/>
    <x v="2"/>
    <x v="0"/>
    <x v="1"/>
    <n v="0"/>
    <n v="2"/>
  </r>
  <r>
    <x v="371"/>
    <x v="2"/>
    <x v="0"/>
    <x v="2"/>
    <x v="0"/>
    <x v="3"/>
    <n v="0"/>
    <n v="4"/>
  </r>
  <r>
    <x v="372"/>
    <x v="1"/>
    <x v="4"/>
    <x v="0"/>
    <x v="2"/>
    <x v="4"/>
    <n v="20"/>
    <n v="1"/>
  </r>
  <r>
    <x v="373"/>
    <x v="3"/>
    <x v="1"/>
    <x v="0"/>
    <x v="1"/>
    <x v="0"/>
    <n v="20"/>
    <n v="2"/>
  </r>
  <r>
    <x v="374"/>
    <x v="2"/>
    <x v="2"/>
    <x v="2"/>
    <x v="3"/>
    <x v="2"/>
    <n v="0"/>
    <n v="1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5">
  <r>
    <x v="0"/>
    <s v="Asia"/>
    <x v="0"/>
    <x v="0"/>
    <s v="Ads"/>
    <s v="25-34"/>
    <n v="20"/>
    <n v="3"/>
  </r>
  <r>
    <x v="1"/>
    <s v="South America"/>
    <x v="1"/>
    <x v="0"/>
    <s v="Ads"/>
    <s v="25-34"/>
    <n v="20"/>
    <n v="17"/>
  </r>
  <r>
    <x v="2"/>
    <s v="Africa"/>
    <x v="2"/>
    <x v="1"/>
    <s v="Referral"/>
    <s v="18-24"/>
    <n v="50"/>
    <n v="15"/>
  </r>
  <r>
    <x v="3"/>
    <s v="Europe"/>
    <x v="1"/>
    <x v="2"/>
    <s v="Email Campaign"/>
    <s v="25-34"/>
    <n v="0"/>
    <n v="10"/>
  </r>
  <r>
    <x v="4"/>
    <s v="North America"/>
    <x v="2"/>
    <x v="0"/>
    <s v="Referral"/>
    <s v="55+"/>
    <n v="20"/>
    <n v="15"/>
  </r>
  <r>
    <x v="5"/>
    <s v="Europe"/>
    <x v="0"/>
    <x v="2"/>
    <s v="Organic"/>
    <s v="18-24"/>
    <n v="0"/>
    <n v="6"/>
  </r>
  <r>
    <x v="6"/>
    <s v="Africa"/>
    <x v="3"/>
    <x v="1"/>
    <s v="Organic"/>
    <s v="18-24"/>
    <n v="50"/>
    <n v="6"/>
  </r>
  <r>
    <x v="7"/>
    <s v="Asia"/>
    <x v="4"/>
    <x v="1"/>
    <s v="Organic"/>
    <s v="55+"/>
    <n v="50"/>
    <n v="14"/>
  </r>
  <r>
    <x v="8"/>
    <s v="Africa"/>
    <x v="2"/>
    <x v="2"/>
    <s v="Referral"/>
    <s v="45-54"/>
    <n v="0"/>
    <n v="20"/>
  </r>
  <r>
    <x v="9"/>
    <s v="North America"/>
    <x v="5"/>
    <x v="1"/>
    <s v="Organic"/>
    <s v="45-54"/>
    <n v="50"/>
    <n v="18"/>
  </r>
  <r>
    <x v="10"/>
    <s v="Africa"/>
    <x v="0"/>
    <x v="1"/>
    <s v="Ads"/>
    <s v="55+"/>
    <n v="50"/>
    <n v="15"/>
  </r>
  <r>
    <x v="11"/>
    <s v="Europe"/>
    <x v="3"/>
    <x v="0"/>
    <s v="Organic"/>
    <s v="18-24"/>
    <n v="20"/>
    <n v="1"/>
  </r>
  <r>
    <x v="12"/>
    <s v="North America"/>
    <x v="5"/>
    <x v="0"/>
    <s v="Email Campaign"/>
    <s v="18-24"/>
    <n v="20"/>
    <n v="8"/>
  </r>
  <r>
    <x v="13"/>
    <s v="Africa"/>
    <x v="3"/>
    <x v="1"/>
    <s v="Organic"/>
    <s v="45-54"/>
    <n v="50"/>
    <n v="20"/>
  </r>
  <r>
    <x v="14"/>
    <s v="Europe"/>
    <x v="5"/>
    <x v="2"/>
    <s v="Organic"/>
    <s v="18-24"/>
    <n v="0"/>
    <n v="15"/>
  </r>
  <r>
    <x v="15"/>
    <s v="South America"/>
    <x v="1"/>
    <x v="0"/>
    <s v="Organic"/>
    <s v="18-24"/>
    <n v="20"/>
    <n v="15"/>
  </r>
  <r>
    <x v="16"/>
    <s v="North America"/>
    <x v="2"/>
    <x v="2"/>
    <s v="Ads"/>
    <s v="18-24"/>
    <n v="0"/>
    <n v="14"/>
  </r>
  <r>
    <x v="17"/>
    <s v="South America"/>
    <x v="3"/>
    <x v="2"/>
    <s v="Organic"/>
    <s v="25-34"/>
    <n v="0"/>
    <n v="7"/>
  </r>
  <r>
    <x v="18"/>
    <s v="Europe"/>
    <x v="2"/>
    <x v="0"/>
    <s v="Ads"/>
    <s v="25-34"/>
    <n v="20"/>
    <n v="4"/>
  </r>
  <r>
    <x v="19"/>
    <s v="North America"/>
    <x v="0"/>
    <x v="2"/>
    <s v="Email Campaign"/>
    <s v="55+"/>
    <n v="0"/>
    <n v="19"/>
  </r>
  <r>
    <x v="20"/>
    <s v="South America"/>
    <x v="1"/>
    <x v="0"/>
    <s v="Referral"/>
    <s v="55+"/>
    <n v="20"/>
    <n v="3"/>
  </r>
  <r>
    <x v="21"/>
    <s v="Africa"/>
    <x v="3"/>
    <x v="0"/>
    <s v="Referral"/>
    <s v="55+"/>
    <n v="20"/>
    <n v="8"/>
  </r>
  <r>
    <x v="22"/>
    <s v="South America"/>
    <x v="0"/>
    <x v="0"/>
    <s v="Organic"/>
    <s v="55+"/>
    <n v="20"/>
    <n v="15"/>
  </r>
  <r>
    <x v="23"/>
    <s v="North America"/>
    <x v="2"/>
    <x v="2"/>
    <s v="Ads"/>
    <s v="18-24"/>
    <n v="0"/>
    <n v="2"/>
  </r>
  <r>
    <x v="24"/>
    <s v="North America"/>
    <x v="1"/>
    <x v="1"/>
    <s v="Ads"/>
    <s v="18-24"/>
    <n v="50"/>
    <n v="13"/>
  </r>
  <r>
    <x v="25"/>
    <s v="North America"/>
    <x v="3"/>
    <x v="2"/>
    <s v="Referral"/>
    <s v="45-54"/>
    <n v="0"/>
    <n v="15"/>
  </r>
  <r>
    <x v="26"/>
    <s v="South America"/>
    <x v="0"/>
    <x v="1"/>
    <s v="Email Campaign"/>
    <s v="35-44"/>
    <n v="50"/>
    <n v="9"/>
  </r>
  <r>
    <x v="27"/>
    <s v="Africa"/>
    <x v="5"/>
    <x v="2"/>
    <s v="Referral"/>
    <s v="25-34"/>
    <n v="0"/>
    <n v="8"/>
  </r>
  <r>
    <x v="28"/>
    <s v="South America"/>
    <x v="1"/>
    <x v="0"/>
    <s v="Email Campaign"/>
    <s v="55+"/>
    <n v="20"/>
    <n v="17"/>
  </r>
  <r>
    <x v="29"/>
    <s v="Asia"/>
    <x v="3"/>
    <x v="0"/>
    <s v="Referral"/>
    <s v="18-24"/>
    <n v="20"/>
    <n v="8"/>
  </r>
  <r>
    <x v="30"/>
    <s v="North America"/>
    <x v="0"/>
    <x v="1"/>
    <s v="Ads"/>
    <s v="35-44"/>
    <n v="50"/>
    <n v="1"/>
  </r>
  <r>
    <x v="31"/>
    <s v="Africa"/>
    <x v="1"/>
    <x v="2"/>
    <s v="Organic"/>
    <s v="55+"/>
    <n v="0"/>
    <n v="0"/>
  </r>
  <r>
    <x v="32"/>
    <s v="Africa"/>
    <x v="2"/>
    <x v="1"/>
    <s v="Ads"/>
    <s v="35-44"/>
    <n v="50"/>
    <n v="5"/>
  </r>
  <r>
    <x v="33"/>
    <s v="Asia"/>
    <x v="2"/>
    <x v="1"/>
    <s v="Email Campaign"/>
    <s v="18-24"/>
    <n v="50"/>
    <n v="9"/>
  </r>
  <r>
    <x v="34"/>
    <s v="Asia"/>
    <x v="3"/>
    <x v="2"/>
    <s v="Organic"/>
    <s v="18-24"/>
    <n v="0"/>
    <n v="14"/>
  </r>
  <r>
    <x v="35"/>
    <s v="Europe"/>
    <x v="3"/>
    <x v="1"/>
    <s v="Email Campaign"/>
    <s v="55+"/>
    <n v="50"/>
    <n v="2"/>
  </r>
  <r>
    <x v="36"/>
    <s v="North America"/>
    <x v="2"/>
    <x v="0"/>
    <s v="Organic"/>
    <s v="45-54"/>
    <n v="20"/>
    <n v="4"/>
  </r>
  <r>
    <x v="37"/>
    <s v="Asia"/>
    <x v="1"/>
    <x v="2"/>
    <s v="Referral"/>
    <s v="25-34"/>
    <n v="0"/>
    <n v="17"/>
  </r>
  <r>
    <x v="38"/>
    <s v="North America"/>
    <x v="2"/>
    <x v="1"/>
    <s v="Organic"/>
    <s v="55+"/>
    <n v="50"/>
    <n v="12"/>
  </r>
  <r>
    <x v="39"/>
    <s v="North America"/>
    <x v="0"/>
    <x v="1"/>
    <s v="Email Campaign"/>
    <s v="25-34"/>
    <n v="50"/>
    <n v="17"/>
  </r>
  <r>
    <x v="40"/>
    <s v="Asia"/>
    <x v="5"/>
    <x v="1"/>
    <s v="Email Campaign"/>
    <s v="25-34"/>
    <n v="50"/>
    <n v="6"/>
  </r>
  <r>
    <x v="41"/>
    <s v="Africa"/>
    <x v="3"/>
    <x v="0"/>
    <s v="Email Campaign"/>
    <s v="55+"/>
    <n v="20"/>
    <n v="6"/>
  </r>
  <r>
    <x v="42"/>
    <s v="North America"/>
    <x v="0"/>
    <x v="0"/>
    <s v="Referral"/>
    <s v="35-44"/>
    <n v="20"/>
    <n v="10"/>
  </r>
  <r>
    <x v="43"/>
    <s v="South America"/>
    <x v="0"/>
    <x v="1"/>
    <s v="Referral"/>
    <s v="25-34"/>
    <n v="50"/>
    <n v="8"/>
  </r>
  <r>
    <x v="44"/>
    <s v="Europe"/>
    <x v="0"/>
    <x v="0"/>
    <s v="Referral"/>
    <s v="25-34"/>
    <n v="20"/>
    <n v="8"/>
  </r>
  <r>
    <x v="45"/>
    <s v="South America"/>
    <x v="5"/>
    <x v="1"/>
    <s v="Referral"/>
    <s v="45-54"/>
    <n v="50"/>
    <n v="7"/>
  </r>
  <r>
    <x v="46"/>
    <s v="North America"/>
    <x v="3"/>
    <x v="1"/>
    <s v="Organic"/>
    <s v="35-44"/>
    <n v="50"/>
    <n v="9"/>
  </r>
  <r>
    <x v="47"/>
    <s v="North America"/>
    <x v="5"/>
    <x v="2"/>
    <s v="Email Campaign"/>
    <s v="45-54"/>
    <n v="0"/>
    <n v="16"/>
  </r>
  <r>
    <x v="48"/>
    <s v="Africa"/>
    <x v="3"/>
    <x v="1"/>
    <s v="Email Campaign"/>
    <s v="18-24"/>
    <n v="50"/>
    <n v="14"/>
  </r>
  <r>
    <x v="49"/>
    <s v="Asia"/>
    <x v="3"/>
    <x v="1"/>
    <s v="Email Campaign"/>
    <s v="45-54"/>
    <n v="50"/>
    <n v="5"/>
  </r>
  <r>
    <x v="50"/>
    <s v="South America"/>
    <x v="1"/>
    <x v="0"/>
    <s v="Email Campaign"/>
    <s v="55+"/>
    <n v="20"/>
    <n v="8"/>
  </r>
  <r>
    <x v="51"/>
    <s v="Africa"/>
    <x v="5"/>
    <x v="2"/>
    <s v="Referral"/>
    <s v="45-54"/>
    <n v="0"/>
    <n v="16"/>
  </r>
  <r>
    <x v="52"/>
    <s v="Africa"/>
    <x v="2"/>
    <x v="0"/>
    <s v="Organic"/>
    <s v="45-54"/>
    <n v="20"/>
    <n v="10"/>
  </r>
  <r>
    <x v="53"/>
    <s v="Asia"/>
    <x v="1"/>
    <x v="0"/>
    <s v="Organic"/>
    <s v="35-44"/>
    <n v="20"/>
    <n v="11"/>
  </r>
  <r>
    <x v="54"/>
    <s v="North America"/>
    <x v="3"/>
    <x v="2"/>
    <s v="Ads"/>
    <s v="25-34"/>
    <n v="0"/>
    <n v="1"/>
  </r>
  <r>
    <x v="55"/>
    <s v="Africa"/>
    <x v="5"/>
    <x v="0"/>
    <s v="Referral"/>
    <s v="35-44"/>
    <n v="20"/>
    <n v="2"/>
  </r>
  <r>
    <x v="56"/>
    <s v="Asia"/>
    <x v="0"/>
    <x v="1"/>
    <s v="Ads"/>
    <s v="35-44"/>
    <n v="50"/>
    <n v="13"/>
  </r>
  <r>
    <x v="57"/>
    <s v="North America"/>
    <x v="3"/>
    <x v="1"/>
    <s v="Organic"/>
    <s v="55+"/>
    <n v="50"/>
    <n v="20"/>
  </r>
  <r>
    <x v="58"/>
    <s v="Europe"/>
    <x v="0"/>
    <x v="0"/>
    <s v="Organic"/>
    <s v="45-54"/>
    <n v="20"/>
    <n v="3"/>
  </r>
  <r>
    <x v="59"/>
    <s v="South America"/>
    <x v="2"/>
    <x v="1"/>
    <s v="Organic"/>
    <s v="18-24"/>
    <n v="50"/>
    <n v="1"/>
  </r>
  <r>
    <x v="60"/>
    <s v="Asia"/>
    <x v="3"/>
    <x v="1"/>
    <s v="Email Campaign"/>
    <s v="35-44"/>
    <n v="50"/>
    <n v="12"/>
  </r>
  <r>
    <x v="61"/>
    <s v="North America"/>
    <x v="0"/>
    <x v="1"/>
    <s v="Referral"/>
    <s v="55+"/>
    <n v="50"/>
    <n v="7"/>
  </r>
  <r>
    <x v="62"/>
    <s v="North America"/>
    <x v="1"/>
    <x v="1"/>
    <s v="Ads"/>
    <s v="25-34"/>
    <n v="50"/>
    <n v="17"/>
  </r>
  <r>
    <x v="63"/>
    <s v="Asia"/>
    <x v="5"/>
    <x v="2"/>
    <s v="Referral"/>
    <s v="18-24"/>
    <n v="0"/>
    <n v="17"/>
  </r>
  <r>
    <x v="64"/>
    <s v="North America"/>
    <x v="1"/>
    <x v="1"/>
    <s v="Ads"/>
    <s v="35-44"/>
    <n v="50"/>
    <n v="20"/>
  </r>
  <r>
    <x v="65"/>
    <s v="South America"/>
    <x v="0"/>
    <x v="0"/>
    <s v="Organic"/>
    <s v="55+"/>
    <n v="20"/>
    <n v="15"/>
  </r>
  <r>
    <x v="66"/>
    <s v="South America"/>
    <x v="3"/>
    <x v="0"/>
    <s v="Email Campaign"/>
    <s v="18-24"/>
    <n v="20"/>
    <n v="11"/>
  </r>
  <r>
    <x v="67"/>
    <s v="North America"/>
    <x v="3"/>
    <x v="2"/>
    <s v="Ads"/>
    <s v="35-44"/>
    <n v="0"/>
    <n v="16"/>
  </r>
  <r>
    <x v="68"/>
    <s v="Asia"/>
    <x v="5"/>
    <x v="0"/>
    <s v="Email Campaign"/>
    <s v="35-44"/>
    <n v="20"/>
    <n v="10"/>
  </r>
  <r>
    <x v="69"/>
    <s v="North America"/>
    <x v="2"/>
    <x v="2"/>
    <s v="Organic"/>
    <s v="55+"/>
    <n v="0"/>
    <n v="7"/>
  </r>
  <r>
    <x v="70"/>
    <s v="North America"/>
    <x v="3"/>
    <x v="1"/>
    <s v="Organic"/>
    <s v="25-34"/>
    <n v="50"/>
    <n v="13"/>
  </r>
  <r>
    <x v="71"/>
    <s v="Africa"/>
    <x v="3"/>
    <x v="2"/>
    <s v="Ads"/>
    <s v="35-44"/>
    <n v="0"/>
    <n v="10"/>
  </r>
  <r>
    <x v="72"/>
    <s v="North America"/>
    <x v="5"/>
    <x v="2"/>
    <s v="Email Campaign"/>
    <s v="55+"/>
    <n v="0"/>
    <n v="18"/>
  </r>
  <r>
    <x v="73"/>
    <s v="Europe"/>
    <x v="3"/>
    <x v="0"/>
    <s v="Email Campaign"/>
    <s v="45-54"/>
    <n v="20"/>
    <n v="4"/>
  </r>
  <r>
    <x v="74"/>
    <s v="North America"/>
    <x v="2"/>
    <x v="2"/>
    <s v="Organic"/>
    <s v="25-34"/>
    <n v="0"/>
    <n v="0"/>
  </r>
  <r>
    <x v="75"/>
    <s v="South America"/>
    <x v="5"/>
    <x v="0"/>
    <s v="Email Campaign"/>
    <s v="55+"/>
    <n v="20"/>
    <n v="2"/>
  </r>
  <r>
    <x v="76"/>
    <s v="South America"/>
    <x v="1"/>
    <x v="0"/>
    <s v="Organic"/>
    <s v="55+"/>
    <n v="20"/>
    <n v="14"/>
  </r>
  <r>
    <x v="77"/>
    <s v="Europe"/>
    <x v="5"/>
    <x v="2"/>
    <s v="Email Campaign"/>
    <s v="25-34"/>
    <n v="0"/>
    <n v="3"/>
  </r>
  <r>
    <x v="78"/>
    <s v="Africa"/>
    <x v="5"/>
    <x v="2"/>
    <s v="Referral"/>
    <s v="18-24"/>
    <n v="0"/>
    <n v="11"/>
  </r>
  <r>
    <x v="79"/>
    <s v="Asia"/>
    <x v="2"/>
    <x v="1"/>
    <s v="Ads"/>
    <s v="35-44"/>
    <n v="50"/>
    <n v="8"/>
  </r>
  <r>
    <x v="80"/>
    <s v="Europe"/>
    <x v="3"/>
    <x v="0"/>
    <s v="Referral"/>
    <s v="35-44"/>
    <n v="20"/>
    <n v="5"/>
  </r>
  <r>
    <x v="81"/>
    <s v="North America"/>
    <x v="1"/>
    <x v="1"/>
    <s v="Email Campaign"/>
    <s v="25-34"/>
    <n v="50"/>
    <n v="1"/>
  </r>
  <r>
    <x v="82"/>
    <s v="North America"/>
    <x v="3"/>
    <x v="1"/>
    <s v="Email Campaign"/>
    <s v="25-34"/>
    <n v="50"/>
    <n v="12"/>
  </r>
  <r>
    <x v="83"/>
    <s v="North America"/>
    <x v="5"/>
    <x v="2"/>
    <s v="Organic"/>
    <s v="35-44"/>
    <n v="0"/>
    <n v="9"/>
  </r>
  <r>
    <x v="84"/>
    <s v="Africa"/>
    <x v="3"/>
    <x v="2"/>
    <s v="Ads"/>
    <s v="55+"/>
    <n v="0"/>
    <n v="8"/>
  </r>
  <r>
    <x v="85"/>
    <s v="South America"/>
    <x v="2"/>
    <x v="1"/>
    <s v="Ads"/>
    <s v="18-24"/>
    <n v="50"/>
    <n v="3"/>
  </r>
  <r>
    <x v="86"/>
    <s v="Africa"/>
    <x v="2"/>
    <x v="1"/>
    <s v="Ads"/>
    <s v="35-44"/>
    <n v="50"/>
    <n v="13"/>
  </r>
  <r>
    <x v="87"/>
    <s v="South America"/>
    <x v="5"/>
    <x v="2"/>
    <s v="Ads"/>
    <s v="25-34"/>
    <n v="0"/>
    <n v="16"/>
  </r>
  <r>
    <x v="88"/>
    <s v="South America"/>
    <x v="2"/>
    <x v="2"/>
    <s v="Referral"/>
    <s v="55+"/>
    <n v="0"/>
    <n v="16"/>
  </r>
  <r>
    <x v="89"/>
    <s v="South America"/>
    <x v="3"/>
    <x v="2"/>
    <s v="Email Campaign"/>
    <s v="45-54"/>
    <n v="0"/>
    <n v="0"/>
  </r>
  <r>
    <x v="90"/>
    <s v="Europe"/>
    <x v="2"/>
    <x v="2"/>
    <s v="Ads"/>
    <s v="45-54"/>
    <n v="0"/>
    <n v="13"/>
  </r>
  <r>
    <x v="91"/>
    <s v="North America"/>
    <x v="1"/>
    <x v="2"/>
    <s v="Ads"/>
    <s v="55+"/>
    <n v="0"/>
    <n v="18"/>
  </r>
  <r>
    <x v="92"/>
    <s v="Africa"/>
    <x v="1"/>
    <x v="0"/>
    <s v="Ads"/>
    <s v="25-34"/>
    <n v="20"/>
    <n v="9"/>
  </r>
  <r>
    <x v="93"/>
    <s v="Europe"/>
    <x v="2"/>
    <x v="0"/>
    <s v="Organic"/>
    <s v="18-24"/>
    <n v="20"/>
    <n v="0"/>
  </r>
  <r>
    <x v="94"/>
    <s v="Asia"/>
    <x v="3"/>
    <x v="0"/>
    <s v="Referral"/>
    <s v="25-34"/>
    <n v="20"/>
    <n v="16"/>
  </r>
  <r>
    <x v="95"/>
    <s v="South America"/>
    <x v="2"/>
    <x v="2"/>
    <s v="Email Campaign"/>
    <s v="45-54"/>
    <n v="0"/>
    <n v="13"/>
  </r>
  <r>
    <x v="96"/>
    <s v="Asia"/>
    <x v="5"/>
    <x v="0"/>
    <s v="Organic"/>
    <s v="18-24"/>
    <n v="20"/>
    <n v="7"/>
  </r>
  <r>
    <x v="97"/>
    <s v="North America"/>
    <x v="1"/>
    <x v="0"/>
    <s v="Organic"/>
    <s v="35-44"/>
    <n v="20"/>
    <n v="9"/>
  </r>
  <r>
    <x v="98"/>
    <s v="South America"/>
    <x v="3"/>
    <x v="2"/>
    <s v="Ads"/>
    <s v="45-54"/>
    <n v="0"/>
    <n v="10"/>
  </r>
  <r>
    <x v="99"/>
    <s v="North America"/>
    <x v="5"/>
    <x v="2"/>
    <s v="Email Campaign"/>
    <s v="35-44"/>
    <n v="0"/>
    <n v="9"/>
  </r>
  <r>
    <x v="100"/>
    <s v="North America"/>
    <x v="5"/>
    <x v="0"/>
    <s v="Referral"/>
    <s v="35-44"/>
    <n v="20"/>
    <n v="2"/>
  </r>
  <r>
    <x v="101"/>
    <s v="North America"/>
    <x v="3"/>
    <x v="2"/>
    <s v="Email Campaign"/>
    <s v="18-24"/>
    <n v="0"/>
    <n v="10"/>
  </r>
  <r>
    <x v="102"/>
    <s v="North America"/>
    <x v="1"/>
    <x v="0"/>
    <s v="Email Campaign"/>
    <s v="35-44"/>
    <n v="20"/>
    <n v="7"/>
  </r>
  <r>
    <x v="103"/>
    <s v="Africa"/>
    <x v="0"/>
    <x v="1"/>
    <s v="Ads"/>
    <s v="18-24"/>
    <n v="50"/>
    <n v="12"/>
  </r>
  <r>
    <x v="104"/>
    <s v="North America"/>
    <x v="3"/>
    <x v="0"/>
    <s v="Email Campaign"/>
    <s v="35-44"/>
    <n v="20"/>
    <n v="19"/>
  </r>
  <r>
    <x v="105"/>
    <s v="North America"/>
    <x v="2"/>
    <x v="0"/>
    <s v="Organic"/>
    <s v="55+"/>
    <n v="20"/>
    <n v="7"/>
  </r>
  <r>
    <x v="106"/>
    <s v="Africa"/>
    <x v="5"/>
    <x v="0"/>
    <s v="Organic"/>
    <s v="25-34"/>
    <n v="20"/>
    <n v="12"/>
  </r>
  <r>
    <x v="107"/>
    <s v="South America"/>
    <x v="1"/>
    <x v="0"/>
    <s v="Referral"/>
    <s v="45-54"/>
    <n v="20"/>
    <n v="16"/>
  </r>
  <r>
    <x v="108"/>
    <s v="North America"/>
    <x v="3"/>
    <x v="1"/>
    <s v="Email Campaign"/>
    <s v="45-54"/>
    <n v="50"/>
    <n v="6"/>
  </r>
  <r>
    <x v="109"/>
    <s v="Africa"/>
    <x v="2"/>
    <x v="2"/>
    <s v="Organic"/>
    <s v="18-24"/>
    <n v="0"/>
    <n v="15"/>
  </r>
  <r>
    <x v="110"/>
    <s v="Europe"/>
    <x v="5"/>
    <x v="0"/>
    <s v="Referral"/>
    <s v="35-44"/>
    <n v="20"/>
    <n v="7"/>
  </r>
  <r>
    <x v="111"/>
    <s v="Africa"/>
    <x v="0"/>
    <x v="0"/>
    <s v="Referral"/>
    <s v="25-34"/>
    <n v="20"/>
    <n v="17"/>
  </r>
  <r>
    <x v="112"/>
    <s v="Asia"/>
    <x v="1"/>
    <x v="0"/>
    <s v="Organic"/>
    <s v="25-34"/>
    <n v="20"/>
    <n v="13"/>
  </r>
  <r>
    <x v="113"/>
    <s v="South America"/>
    <x v="3"/>
    <x v="2"/>
    <s v="Email Campaign"/>
    <s v="25-34"/>
    <n v="0"/>
    <n v="1"/>
  </r>
  <r>
    <x v="114"/>
    <s v="Africa"/>
    <x v="2"/>
    <x v="1"/>
    <s v="Email Campaign"/>
    <s v="25-34"/>
    <n v="50"/>
    <n v="6"/>
  </r>
  <r>
    <x v="115"/>
    <s v="Africa"/>
    <x v="0"/>
    <x v="1"/>
    <s v="Ads"/>
    <s v="45-54"/>
    <n v="50"/>
    <n v="3"/>
  </r>
  <r>
    <x v="116"/>
    <s v="Europe"/>
    <x v="1"/>
    <x v="1"/>
    <s v="Organic"/>
    <s v="35-44"/>
    <n v="50"/>
    <n v="6"/>
  </r>
  <r>
    <x v="117"/>
    <s v="Europe"/>
    <x v="3"/>
    <x v="1"/>
    <s v="Organic"/>
    <s v="18-24"/>
    <n v="50"/>
    <n v="19"/>
  </r>
  <r>
    <x v="118"/>
    <s v="South America"/>
    <x v="3"/>
    <x v="1"/>
    <s v="Email Campaign"/>
    <s v="45-54"/>
    <n v="50"/>
    <n v="3"/>
  </r>
  <r>
    <x v="119"/>
    <s v="Africa"/>
    <x v="5"/>
    <x v="2"/>
    <s v="Ads"/>
    <s v="45-54"/>
    <n v="0"/>
    <n v="8"/>
  </r>
  <r>
    <x v="120"/>
    <s v="North America"/>
    <x v="2"/>
    <x v="2"/>
    <s v="Ads"/>
    <s v="45-54"/>
    <n v="0"/>
    <n v="3"/>
  </r>
  <r>
    <x v="121"/>
    <s v="Asia"/>
    <x v="2"/>
    <x v="0"/>
    <s v="Email Campaign"/>
    <s v="18-24"/>
    <n v="20"/>
    <n v="16"/>
  </r>
  <r>
    <x v="122"/>
    <s v="Europe"/>
    <x v="0"/>
    <x v="1"/>
    <s v="Organic"/>
    <s v="18-24"/>
    <n v="50"/>
    <n v="15"/>
  </r>
  <r>
    <x v="123"/>
    <s v="Africa"/>
    <x v="2"/>
    <x v="0"/>
    <s v="Referral"/>
    <s v="35-44"/>
    <n v="20"/>
    <n v="13"/>
  </r>
  <r>
    <x v="124"/>
    <s v="Asia"/>
    <x v="5"/>
    <x v="0"/>
    <s v="Organic"/>
    <s v="45-54"/>
    <n v="20"/>
    <n v="14"/>
  </r>
  <r>
    <x v="125"/>
    <s v="North America"/>
    <x v="0"/>
    <x v="1"/>
    <s v="Organic"/>
    <s v="35-44"/>
    <n v="50"/>
    <n v="3"/>
  </r>
  <r>
    <x v="126"/>
    <s v="North America"/>
    <x v="5"/>
    <x v="2"/>
    <s v="Email Campaign"/>
    <s v="45-54"/>
    <n v="0"/>
    <n v="2"/>
  </r>
  <r>
    <x v="127"/>
    <s v="South America"/>
    <x v="0"/>
    <x v="1"/>
    <s v="Ads"/>
    <s v="35-44"/>
    <n v="50"/>
    <n v="14"/>
  </r>
  <r>
    <x v="128"/>
    <s v="South America"/>
    <x v="5"/>
    <x v="1"/>
    <s v="Organic"/>
    <s v="55+"/>
    <n v="50"/>
    <n v="1"/>
  </r>
  <r>
    <x v="129"/>
    <s v="Africa"/>
    <x v="0"/>
    <x v="1"/>
    <s v="Ads"/>
    <s v="25-34"/>
    <n v="50"/>
    <n v="4"/>
  </r>
  <r>
    <x v="130"/>
    <s v="South America"/>
    <x v="1"/>
    <x v="1"/>
    <s v="Ads"/>
    <s v="55+"/>
    <n v="50"/>
    <n v="2"/>
  </r>
  <r>
    <x v="131"/>
    <s v="Asia"/>
    <x v="0"/>
    <x v="2"/>
    <s v="Ads"/>
    <s v="35-44"/>
    <n v="0"/>
    <n v="19"/>
  </r>
  <r>
    <x v="132"/>
    <s v="North America"/>
    <x v="3"/>
    <x v="0"/>
    <s v="Organic"/>
    <s v="45-54"/>
    <n v="20"/>
    <n v="11"/>
  </r>
  <r>
    <x v="133"/>
    <s v="Europe"/>
    <x v="2"/>
    <x v="0"/>
    <s v="Ads"/>
    <s v="18-24"/>
    <n v="20"/>
    <n v="11"/>
  </r>
  <r>
    <x v="134"/>
    <s v="Europe"/>
    <x v="5"/>
    <x v="0"/>
    <s v="Organic"/>
    <s v="35-44"/>
    <n v="20"/>
    <n v="10"/>
  </r>
  <r>
    <x v="135"/>
    <s v="North America"/>
    <x v="2"/>
    <x v="1"/>
    <s v="Organic"/>
    <s v="18-24"/>
    <n v="50"/>
    <n v="5"/>
  </r>
  <r>
    <x v="136"/>
    <s v="Asia"/>
    <x v="2"/>
    <x v="1"/>
    <s v="Organic"/>
    <s v="45-54"/>
    <n v="50"/>
    <n v="5"/>
  </r>
  <r>
    <x v="137"/>
    <s v="Asia"/>
    <x v="0"/>
    <x v="0"/>
    <s v="Organic"/>
    <s v="35-44"/>
    <n v="20"/>
    <n v="15"/>
  </r>
  <r>
    <x v="138"/>
    <s v="Asia"/>
    <x v="3"/>
    <x v="2"/>
    <s v="Ads"/>
    <s v="18-24"/>
    <n v="0"/>
    <n v="14"/>
  </r>
  <r>
    <x v="139"/>
    <s v="Africa"/>
    <x v="2"/>
    <x v="0"/>
    <s v="Ads"/>
    <s v="45-54"/>
    <n v="20"/>
    <n v="2"/>
  </r>
  <r>
    <x v="140"/>
    <s v="Europe"/>
    <x v="3"/>
    <x v="0"/>
    <s v="Referral"/>
    <s v="55+"/>
    <n v="20"/>
    <n v="8"/>
  </r>
  <r>
    <x v="141"/>
    <s v="Europe"/>
    <x v="1"/>
    <x v="0"/>
    <s v="Email Campaign"/>
    <s v="45-54"/>
    <n v="20"/>
    <n v="15"/>
  </r>
  <r>
    <x v="142"/>
    <s v="South America"/>
    <x v="1"/>
    <x v="1"/>
    <s v="Ads"/>
    <s v="45-54"/>
    <n v="50"/>
    <n v="12"/>
  </r>
  <r>
    <x v="143"/>
    <s v="Asia"/>
    <x v="0"/>
    <x v="1"/>
    <s v="Email Campaign"/>
    <s v="35-44"/>
    <n v="50"/>
    <n v="7"/>
  </r>
  <r>
    <x v="144"/>
    <s v="South America"/>
    <x v="0"/>
    <x v="0"/>
    <s v="Email Campaign"/>
    <s v="55+"/>
    <n v="20"/>
    <n v="16"/>
  </r>
  <r>
    <x v="145"/>
    <s v="Africa"/>
    <x v="2"/>
    <x v="0"/>
    <s v="Organic"/>
    <s v="35-44"/>
    <n v="20"/>
    <n v="16"/>
  </r>
  <r>
    <x v="146"/>
    <s v="Europe"/>
    <x v="1"/>
    <x v="0"/>
    <s v="Ads"/>
    <s v="45-54"/>
    <n v="20"/>
    <n v="18"/>
  </r>
  <r>
    <x v="147"/>
    <s v="Africa"/>
    <x v="1"/>
    <x v="1"/>
    <s v="Organic"/>
    <s v="45-54"/>
    <n v="50"/>
    <n v="5"/>
  </r>
  <r>
    <x v="148"/>
    <s v="Europe"/>
    <x v="0"/>
    <x v="2"/>
    <s v="Organic"/>
    <s v="35-44"/>
    <n v="0"/>
    <n v="7"/>
  </r>
  <r>
    <x v="149"/>
    <s v="South America"/>
    <x v="3"/>
    <x v="0"/>
    <s v="Referral"/>
    <s v="25-34"/>
    <n v="20"/>
    <n v="19"/>
  </r>
  <r>
    <x v="150"/>
    <s v="Africa"/>
    <x v="0"/>
    <x v="0"/>
    <s v="Email Campaign"/>
    <s v="45-54"/>
    <n v="20"/>
    <n v="12"/>
  </r>
  <r>
    <x v="151"/>
    <s v="Africa"/>
    <x v="5"/>
    <x v="2"/>
    <s v="Organic"/>
    <s v="55+"/>
    <n v="0"/>
    <n v="20"/>
  </r>
  <r>
    <x v="152"/>
    <s v="South America"/>
    <x v="1"/>
    <x v="1"/>
    <s v="Referral"/>
    <s v="35-44"/>
    <n v="50"/>
    <n v="16"/>
  </r>
  <r>
    <x v="153"/>
    <s v="Europe"/>
    <x v="3"/>
    <x v="0"/>
    <s v="Email Campaign"/>
    <s v="18-24"/>
    <n v="20"/>
    <n v="1"/>
  </r>
  <r>
    <x v="154"/>
    <s v="South America"/>
    <x v="0"/>
    <x v="2"/>
    <s v="Organic"/>
    <s v="55+"/>
    <n v="0"/>
    <n v="13"/>
  </r>
  <r>
    <x v="155"/>
    <s v="Europe"/>
    <x v="0"/>
    <x v="2"/>
    <s v="Organic"/>
    <s v="35-44"/>
    <n v="0"/>
    <n v="14"/>
  </r>
  <r>
    <x v="156"/>
    <s v="North America"/>
    <x v="3"/>
    <x v="2"/>
    <s v="Organic"/>
    <s v="45-54"/>
    <n v="0"/>
    <n v="0"/>
  </r>
  <r>
    <x v="157"/>
    <s v="Africa"/>
    <x v="5"/>
    <x v="2"/>
    <s v="Referral"/>
    <s v="18-24"/>
    <n v="0"/>
    <n v="10"/>
  </r>
  <r>
    <x v="158"/>
    <s v="South America"/>
    <x v="1"/>
    <x v="0"/>
    <s v="Ads"/>
    <s v="55+"/>
    <n v="20"/>
    <n v="10"/>
  </r>
  <r>
    <x v="159"/>
    <s v="Asia"/>
    <x v="2"/>
    <x v="1"/>
    <s v="Email Campaign"/>
    <s v="55+"/>
    <n v="50"/>
    <n v="15"/>
  </r>
  <r>
    <x v="160"/>
    <s v="Asia"/>
    <x v="3"/>
    <x v="2"/>
    <s v="Organic"/>
    <s v="35-44"/>
    <n v="0"/>
    <n v="16"/>
  </r>
  <r>
    <x v="161"/>
    <s v="Africa"/>
    <x v="1"/>
    <x v="0"/>
    <s v="Organic"/>
    <s v="35-44"/>
    <n v="20"/>
    <n v="3"/>
  </r>
  <r>
    <x v="162"/>
    <s v="North America"/>
    <x v="1"/>
    <x v="2"/>
    <s v="Organic"/>
    <s v="25-34"/>
    <n v="0"/>
    <n v="1"/>
  </r>
  <r>
    <x v="163"/>
    <s v="South America"/>
    <x v="3"/>
    <x v="1"/>
    <s v="Referral"/>
    <s v="45-54"/>
    <n v="50"/>
    <n v="14"/>
  </r>
  <r>
    <x v="164"/>
    <s v="North America"/>
    <x v="5"/>
    <x v="0"/>
    <s v="Email Campaign"/>
    <s v="35-44"/>
    <n v="20"/>
    <n v="18"/>
  </r>
  <r>
    <x v="165"/>
    <s v="Asia"/>
    <x v="0"/>
    <x v="2"/>
    <s v="Referral"/>
    <s v="25-34"/>
    <n v="0"/>
    <n v="20"/>
  </r>
  <r>
    <x v="166"/>
    <s v="Europe"/>
    <x v="0"/>
    <x v="2"/>
    <s v="Email Campaign"/>
    <s v="18-24"/>
    <n v="0"/>
    <n v="11"/>
  </r>
  <r>
    <x v="167"/>
    <s v="South America"/>
    <x v="0"/>
    <x v="0"/>
    <s v="Email Campaign"/>
    <s v="25-34"/>
    <n v="20"/>
    <n v="17"/>
  </r>
  <r>
    <x v="168"/>
    <s v="Asia"/>
    <x v="1"/>
    <x v="1"/>
    <s v="Referral"/>
    <s v="18-24"/>
    <n v="50"/>
    <n v="19"/>
  </r>
  <r>
    <x v="169"/>
    <s v="Africa"/>
    <x v="2"/>
    <x v="0"/>
    <s v="Referral"/>
    <s v="18-24"/>
    <n v="20"/>
    <n v="1"/>
  </r>
  <r>
    <x v="170"/>
    <s v="Africa"/>
    <x v="3"/>
    <x v="2"/>
    <s v="Ads"/>
    <s v="25-34"/>
    <n v="0"/>
    <n v="4"/>
  </r>
  <r>
    <x v="171"/>
    <s v="Europe"/>
    <x v="2"/>
    <x v="2"/>
    <s v="Organic"/>
    <s v="35-44"/>
    <n v="0"/>
    <n v="10"/>
  </r>
  <r>
    <x v="172"/>
    <s v="Asia"/>
    <x v="5"/>
    <x v="0"/>
    <s v="Ads"/>
    <s v="55+"/>
    <n v="20"/>
    <n v="0"/>
  </r>
  <r>
    <x v="173"/>
    <s v="Europe"/>
    <x v="2"/>
    <x v="2"/>
    <s v="Email Campaign"/>
    <s v="35-44"/>
    <n v="0"/>
    <n v="7"/>
  </r>
  <r>
    <x v="174"/>
    <s v="Africa"/>
    <x v="0"/>
    <x v="1"/>
    <s v="Ads"/>
    <s v="18-24"/>
    <n v="50"/>
    <n v="19"/>
  </r>
  <r>
    <x v="175"/>
    <s v="Europe"/>
    <x v="0"/>
    <x v="2"/>
    <s v="Organic"/>
    <s v="35-44"/>
    <n v="0"/>
    <n v="5"/>
  </r>
  <r>
    <x v="176"/>
    <s v="South America"/>
    <x v="0"/>
    <x v="1"/>
    <s v="Referral"/>
    <s v="35-44"/>
    <n v="50"/>
    <n v="20"/>
  </r>
  <r>
    <x v="177"/>
    <s v="North America"/>
    <x v="3"/>
    <x v="1"/>
    <s v="Referral"/>
    <s v="55+"/>
    <n v="50"/>
    <n v="2"/>
  </r>
  <r>
    <x v="178"/>
    <s v="Asia"/>
    <x v="3"/>
    <x v="2"/>
    <s v="Organic"/>
    <s v="35-44"/>
    <n v="0"/>
    <n v="6"/>
  </r>
  <r>
    <x v="179"/>
    <s v="South America"/>
    <x v="5"/>
    <x v="0"/>
    <s v="Email Campaign"/>
    <s v="45-54"/>
    <n v="20"/>
    <n v="1"/>
  </r>
  <r>
    <x v="180"/>
    <s v="Africa"/>
    <x v="2"/>
    <x v="1"/>
    <s v="Organic"/>
    <s v="45-54"/>
    <n v="50"/>
    <n v="0"/>
  </r>
  <r>
    <x v="181"/>
    <s v="North America"/>
    <x v="2"/>
    <x v="0"/>
    <s v="Organic"/>
    <s v="25-34"/>
    <n v="20"/>
    <n v="15"/>
  </r>
  <r>
    <x v="182"/>
    <s v="North America"/>
    <x v="0"/>
    <x v="1"/>
    <s v="Ads"/>
    <s v="45-54"/>
    <n v="50"/>
    <n v="0"/>
  </r>
  <r>
    <x v="183"/>
    <s v="North America"/>
    <x v="5"/>
    <x v="2"/>
    <s v="Ads"/>
    <s v="35-44"/>
    <n v="0"/>
    <n v="12"/>
  </r>
  <r>
    <x v="184"/>
    <s v="South America"/>
    <x v="1"/>
    <x v="0"/>
    <s v="Organic"/>
    <s v="18-24"/>
    <n v="20"/>
    <n v="2"/>
  </r>
  <r>
    <x v="185"/>
    <s v="Europe"/>
    <x v="2"/>
    <x v="1"/>
    <s v="Referral"/>
    <s v="35-44"/>
    <n v="50"/>
    <n v="20"/>
  </r>
  <r>
    <x v="186"/>
    <s v="Africa"/>
    <x v="1"/>
    <x v="2"/>
    <s v="Ads"/>
    <s v="55+"/>
    <n v="0"/>
    <n v="20"/>
  </r>
  <r>
    <x v="187"/>
    <s v="North America"/>
    <x v="2"/>
    <x v="1"/>
    <s v="Ads"/>
    <s v="18-24"/>
    <n v="50"/>
    <n v="5"/>
  </r>
  <r>
    <x v="188"/>
    <s v="Africa"/>
    <x v="5"/>
    <x v="0"/>
    <s v="Referral"/>
    <s v="45-54"/>
    <n v="20"/>
    <n v="11"/>
  </r>
  <r>
    <x v="189"/>
    <s v="Africa"/>
    <x v="1"/>
    <x v="2"/>
    <s v="Organic"/>
    <s v="18-24"/>
    <n v="0"/>
    <n v="2"/>
  </r>
  <r>
    <x v="190"/>
    <s v="North America"/>
    <x v="1"/>
    <x v="2"/>
    <s v="Ads"/>
    <s v="45-54"/>
    <n v="0"/>
    <n v="8"/>
  </r>
  <r>
    <x v="191"/>
    <s v="Asia"/>
    <x v="1"/>
    <x v="0"/>
    <s v="Email Campaign"/>
    <s v="45-54"/>
    <n v="20"/>
    <n v="12"/>
  </r>
  <r>
    <x v="192"/>
    <s v="Africa"/>
    <x v="3"/>
    <x v="0"/>
    <s v="Organic"/>
    <s v="35-44"/>
    <n v="20"/>
    <n v="14"/>
  </r>
  <r>
    <x v="193"/>
    <s v="North America"/>
    <x v="1"/>
    <x v="2"/>
    <s v="Ads"/>
    <s v="45-54"/>
    <n v="0"/>
    <n v="8"/>
  </r>
  <r>
    <x v="194"/>
    <s v="Africa"/>
    <x v="1"/>
    <x v="0"/>
    <s v="Organic"/>
    <s v="35-44"/>
    <n v="20"/>
    <n v="20"/>
  </r>
  <r>
    <x v="195"/>
    <s v="Africa"/>
    <x v="5"/>
    <x v="0"/>
    <s v="Referral"/>
    <s v="45-54"/>
    <n v="20"/>
    <n v="5"/>
  </r>
  <r>
    <x v="196"/>
    <s v="Africa"/>
    <x v="2"/>
    <x v="0"/>
    <s v="Referral"/>
    <s v="55+"/>
    <n v="20"/>
    <n v="4"/>
  </r>
  <r>
    <x v="197"/>
    <s v="Africa"/>
    <x v="1"/>
    <x v="0"/>
    <s v="Email Campaign"/>
    <s v="35-44"/>
    <n v="20"/>
    <n v="19"/>
  </r>
  <r>
    <x v="198"/>
    <s v="South America"/>
    <x v="1"/>
    <x v="2"/>
    <s v="Referral"/>
    <s v="18-24"/>
    <n v="0"/>
    <n v="1"/>
  </r>
  <r>
    <x v="199"/>
    <s v="Africa"/>
    <x v="3"/>
    <x v="1"/>
    <s v="Email Campaign"/>
    <s v="18-24"/>
    <n v="50"/>
    <n v="0"/>
  </r>
  <r>
    <x v="200"/>
    <s v="North America"/>
    <x v="5"/>
    <x v="0"/>
    <s v="Referral"/>
    <s v="35-44"/>
    <n v="20"/>
    <n v="8"/>
  </r>
  <r>
    <x v="201"/>
    <s v="Asia"/>
    <x v="0"/>
    <x v="0"/>
    <s v="Organic"/>
    <s v="18-24"/>
    <n v="20"/>
    <n v="17"/>
  </r>
  <r>
    <x v="202"/>
    <s v="North America"/>
    <x v="2"/>
    <x v="1"/>
    <s v="Referral"/>
    <s v="25-34"/>
    <n v="50"/>
    <n v="0"/>
  </r>
  <r>
    <x v="203"/>
    <s v="Asia"/>
    <x v="5"/>
    <x v="0"/>
    <s v="Ads"/>
    <s v="45-54"/>
    <n v="20"/>
    <n v="17"/>
  </r>
  <r>
    <x v="204"/>
    <s v="Europe"/>
    <x v="1"/>
    <x v="2"/>
    <s v="Referral"/>
    <s v="35-44"/>
    <n v="0"/>
    <n v="12"/>
  </r>
  <r>
    <x v="205"/>
    <s v="Africa"/>
    <x v="1"/>
    <x v="1"/>
    <s v="Referral"/>
    <s v="55+"/>
    <n v="50"/>
    <n v="20"/>
  </r>
  <r>
    <x v="206"/>
    <s v="North America"/>
    <x v="2"/>
    <x v="0"/>
    <s v="Ads"/>
    <s v="55+"/>
    <n v="20"/>
    <n v="17"/>
  </r>
  <r>
    <x v="207"/>
    <s v="Africa"/>
    <x v="5"/>
    <x v="2"/>
    <s v="Referral"/>
    <s v="35-44"/>
    <n v="0"/>
    <n v="9"/>
  </r>
  <r>
    <x v="208"/>
    <s v="South America"/>
    <x v="0"/>
    <x v="2"/>
    <s v="Ads"/>
    <s v="18-24"/>
    <n v="0"/>
    <n v="19"/>
  </r>
  <r>
    <x v="209"/>
    <s v="South America"/>
    <x v="0"/>
    <x v="1"/>
    <s v="Email Campaign"/>
    <s v="45-54"/>
    <n v="50"/>
    <n v="2"/>
  </r>
  <r>
    <x v="210"/>
    <s v="Africa"/>
    <x v="5"/>
    <x v="1"/>
    <s v="Organic"/>
    <s v="35-44"/>
    <n v="50"/>
    <n v="4"/>
  </r>
  <r>
    <x v="211"/>
    <s v="Africa"/>
    <x v="3"/>
    <x v="1"/>
    <s v="Organic"/>
    <s v="55+"/>
    <n v="50"/>
    <n v="0"/>
  </r>
  <r>
    <x v="212"/>
    <s v="Asia"/>
    <x v="1"/>
    <x v="1"/>
    <s v="Referral"/>
    <s v="45-54"/>
    <n v="50"/>
    <n v="13"/>
  </r>
  <r>
    <x v="213"/>
    <s v="Europe"/>
    <x v="5"/>
    <x v="2"/>
    <s v="Referral"/>
    <s v="25-34"/>
    <n v="0"/>
    <n v="6"/>
  </r>
  <r>
    <x v="214"/>
    <s v="Europe"/>
    <x v="2"/>
    <x v="0"/>
    <s v="Ads"/>
    <s v="25-34"/>
    <n v="20"/>
    <n v="13"/>
  </r>
  <r>
    <x v="215"/>
    <s v="Europe"/>
    <x v="0"/>
    <x v="2"/>
    <s v="Organic"/>
    <s v="35-44"/>
    <n v="0"/>
    <n v="12"/>
  </r>
  <r>
    <x v="216"/>
    <s v="Asia"/>
    <x v="5"/>
    <x v="1"/>
    <s v="Email Campaign"/>
    <s v="35-44"/>
    <n v="50"/>
    <n v="9"/>
  </r>
  <r>
    <x v="217"/>
    <s v="South America"/>
    <x v="5"/>
    <x v="1"/>
    <s v="Referral"/>
    <s v="45-54"/>
    <n v="50"/>
    <n v="18"/>
  </r>
  <r>
    <x v="218"/>
    <s v="Europe"/>
    <x v="0"/>
    <x v="0"/>
    <s v="Organic"/>
    <s v="35-44"/>
    <n v="20"/>
    <n v="9"/>
  </r>
  <r>
    <x v="219"/>
    <s v="Africa"/>
    <x v="3"/>
    <x v="0"/>
    <s v="Ads"/>
    <s v="18-24"/>
    <n v="20"/>
    <n v="0"/>
  </r>
  <r>
    <x v="220"/>
    <s v="Europe"/>
    <x v="5"/>
    <x v="2"/>
    <s v="Email Campaign"/>
    <s v="35-44"/>
    <n v="0"/>
    <n v="6"/>
  </r>
  <r>
    <x v="221"/>
    <s v="North America"/>
    <x v="3"/>
    <x v="2"/>
    <s v="Ads"/>
    <s v="45-54"/>
    <n v="0"/>
    <n v="1"/>
  </r>
  <r>
    <x v="222"/>
    <s v="Africa"/>
    <x v="3"/>
    <x v="0"/>
    <s v="Referral"/>
    <s v="55+"/>
    <n v="20"/>
    <n v="6"/>
  </r>
  <r>
    <x v="223"/>
    <s v="South America"/>
    <x v="0"/>
    <x v="2"/>
    <s v="Ads"/>
    <s v="18-24"/>
    <n v="0"/>
    <n v="7"/>
  </r>
  <r>
    <x v="224"/>
    <s v="Asia"/>
    <x v="2"/>
    <x v="0"/>
    <s v="Referral"/>
    <s v="55+"/>
    <n v="20"/>
    <n v="5"/>
  </r>
  <r>
    <x v="225"/>
    <s v="Asia"/>
    <x v="3"/>
    <x v="1"/>
    <s v="Email Campaign"/>
    <s v="55+"/>
    <n v="50"/>
    <n v="4"/>
  </r>
  <r>
    <x v="226"/>
    <s v="Europe"/>
    <x v="1"/>
    <x v="1"/>
    <s v="Organic"/>
    <s v="45-54"/>
    <n v="50"/>
    <n v="19"/>
  </r>
  <r>
    <x v="227"/>
    <s v="Asia"/>
    <x v="2"/>
    <x v="0"/>
    <s v="Referral"/>
    <s v="45-54"/>
    <n v="20"/>
    <n v="2"/>
  </r>
  <r>
    <x v="228"/>
    <s v="Africa"/>
    <x v="2"/>
    <x v="1"/>
    <s v="Referral"/>
    <s v="18-24"/>
    <n v="50"/>
    <n v="19"/>
  </r>
  <r>
    <x v="229"/>
    <s v="North America"/>
    <x v="0"/>
    <x v="2"/>
    <s v="Ads"/>
    <s v="45-54"/>
    <n v="0"/>
    <n v="12"/>
  </r>
  <r>
    <x v="230"/>
    <s v="Europe"/>
    <x v="1"/>
    <x v="0"/>
    <s v="Organic"/>
    <s v="18-24"/>
    <n v="20"/>
    <n v="2"/>
  </r>
  <r>
    <x v="231"/>
    <s v="Asia"/>
    <x v="5"/>
    <x v="2"/>
    <s v="Email Campaign"/>
    <s v="35-44"/>
    <n v="0"/>
    <n v="14"/>
  </r>
  <r>
    <x v="232"/>
    <s v="Europe"/>
    <x v="1"/>
    <x v="2"/>
    <s v="Referral"/>
    <s v="25-34"/>
    <n v="0"/>
    <n v="13"/>
  </r>
  <r>
    <x v="233"/>
    <s v="Asia"/>
    <x v="5"/>
    <x v="2"/>
    <s v="Referral"/>
    <s v="25-34"/>
    <n v="0"/>
    <n v="5"/>
  </r>
  <r>
    <x v="234"/>
    <s v="South America"/>
    <x v="0"/>
    <x v="1"/>
    <s v="Referral"/>
    <s v="18-24"/>
    <n v="50"/>
    <n v="20"/>
  </r>
  <r>
    <x v="235"/>
    <s v="North America"/>
    <x v="2"/>
    <x v="0"/>
    <s v="Organic"/>
    <s v="25-34"/>
    <n v="20"/>
    <n v="6"/>
  </r>
  <r>
    <x v="236"/>
    <s v="Africa"/>
    <x v="0"/>
    <x v="2"/>
    <s v="Email Campaign"/>
    <s v="35-44"/>
    <n v="0"/>
    <n v="10"/>
  </r>
  <r>
    <x v="237"/>
    <s v="Africa"/>
    <x v="2"/>
    <x v="1"/>
    <s v="Organic"/>
    <s v="35-44"/>
    <n v="50"/>
    <n v="18"/>
  </r>
  <r>
    <x v="238"/>
    <s v="Asia"/>
    <x v="0"/>
    <x v="1"/>
    <s v="Ads"/>
    <s v="18-24"/>
    <n v="50"/>
    <n v="13"/>
  </r>
  <r>
    <x v="239"/>
    <s v="Asia"/>
    <x v="2"/>
    <x v="2"/>
    <s v="Ads"/>
    <s v="25-34"/>
    <n v="0"/>
    <n v="14"/>
  </r>
  <r>
    <x v="240"/>
    <s v="South America"/>
    <x v="5"/>
    <x v="0"/>
    <s v="Ads"/>
    <s v="55+"/>
    <n v="20"/>
    <n v="14"/>
  </r>
  <r>
    <x v="241"/>
    <s v="Africa"/>
    <x v="0"/>
    <x v="1"/>
    <s v="Referral"/>
    <s v="18-24"/>
    <n v="50"/>
    <n v="11"/>
  </r>
  <r>
    <x v="242"/>
    <s v="South America"/>
    <x v="5"/>
    <x v="2"/>
    <s v="Referral"/>
    <s v="35-44"/>
    <n v="0"/>
    <n v="16"/>
  </r>
  <r>
    <x v="243"/>
    <s v="Africa"/>
    <x v="3"/>
    <x v="0"/>
    <s v="Organic"/>
    <s v="35-44"/>
    <n v="20"/>
    <n v="9"/>
  </r>
  <r>
    <x v="244"/>
    <s v="North America"/>
    <x v="5"/>
    <x v="2"/>
    <s v="Referral"/>
    <s v="25-34"/>
    <n v="0"/>
    <n v="1"/>
  </r>
  <r>
    <x v="245"/>
    <s v="North America"/>
    <x v="5"/>
    <x v="0"/>
    <s v="Organic"/>
    <s v="18-24"/>
    <n v="20"/>
    <n v="10"/>
  </r>
  <r>
    <x v="246"/>
    <s v="North America"/>
    <x v="1"/>
    <x v="2"/>
    <s v="Email Campaign"/>
    <s v="45-54"/>
    <n v="0"/>
    <n v="15"/>
  </r>
  <r>
    <x v="247"/>
    <s v="Africa"/>
    <x v="1"/>
    <x v="0"/>
    <s v="Organic"/>
    <s v="45-54"/>
    <n v="20"/>
    <n v="3"/>
  </r>
  <r>
    <x v="248"/>
    <s v="South America"/>
    <x v="1"/>
    <x v="1"/>
    <s v="Organic"/>
    <s v="45-54"/>
    <n v="50"/>
    <n v="1"/>
  </r>
  <r>
    <x v="249"/>
    <s v="South America"/>
    <x v="5"/>
    <x v="2"/>
    <s v="Organic"/>
    <s v="55+"/>
    <n v="0"/>
    <n v="3"/>
  </r>
  <r>
    <x v="250"/>
    <s v="Europe"/>
    <x v="0"/>
    <x v="2"/>
    <s v="Organic"/>
    <s v="55+"/>
    <n v="0"/>
    <n v="5"/>
  </r>
  <r>
    <x v="251"/>
    <s v="Africa"/>
    <x v="0"/>
    <x v="0"/>
    <s v="Email Campaign"/>
    <s v="18-24"/>
    <n v="20"/>
    <n v="6"/>
  </r>
  <r>
    <x v="252"/>
    <s v="South America"/>
    <x v="0"/>
    <x v="0"/>
    <s v="Ads"/>
    <s v="25-34"/>
    <n v="20"/>
    <n v="10"/>
  </r>
  <r>
    <x v="253"/>
    <s v="North America"/>
    <x v="3"/>
    <x v="2"/>
    <s v="Organic"/>
    <s v="55+"/>
    <n v="0"/>
    <n v="18"/>
  </r>
  <r>
    <x v="254"/>
    <s v="Asia"/>
    <x v="0"/>
    <x v="0"/>
    <s v="Email Campaign"/>
    <s v="35-44"/>
    <n v="20"/>
    <n v="13"/>
  </r>
  <r>
    <x v="255"/>
    <s v="North America"/>
    <x v="0"/>
    <x v="0"/>
    <s v="Organic"/>
    <s v="55+"/>
    <n v="20"/>
    <n v="6"/>
  </r>
  <r>
    <x v="256"/>
    <s v="Europe"/>
    <x v="1"/>
    <x v="1"/>
    <s v="Organic"/>
    <s v="45-54"/>
    <n v="50"/>
    <n v="9"/>
  </r>
  <r>
    <x v="257"/>
    <s v="North America"/>
    <x v="5"/>
    <x v="2"/>
    <s v="Referral"/>
    <s v="55+"/>
    <n v="0"/>
    <n v="1"/>
  </r>
  <r>
    <x v="258"/>
    <s v="North America"/>
    <x v="5"/>
    <x v="1"/>
    <s v="Organic"/>
    <s v="35-44"/>
    <n v="50"/>
    <n v="15"/>
  </r>
  <r>
    <x v="259"/>
    <s v="Asia"/>
    <x v="3"/>
    <x v="0"/>
    <s v="Email Campaign"/>
    <s v="18-24"/>
    <n v="20"/>
    <n v="2"/>
  </r>
  <r>
    <x v="260"/>
    <s v="Europe"/>
    <x v="1"/>
    <x v="1"/>
    <s v="Ads"/>
    <s v="55+"/>
    <n v="50"/>
    <n v="2"/>
  </r>
  <r>
    <x v="261"/>
    <s v="Africa"/>
    <x v="1"/>
    <x v="2"/>
    <s v="Referral"/>
    <s v="35-44"/>
    <n v="0"/>
    <n v="12"/>
  </r>
  <r>
    <x v="262"/>
    <s v="Africa"/>
    <x v="3"/>
    <x v="1"/>
    <s v="Organic"/>
    <s v="35-44"/>
    <n v="50"/>
    <n v="8"/>
  </r>
  <r>
    <x v="263"/>
    <s v="Africa"/>
    <x v="2"/>
    <x v="2"/>
    <s v="Referral"/>
    <s v="55+"/>
    <n v="0"/>
    <n v="7"/>
  </r>
  <r>
    <x v="264"/>
    <s v="North America"/>
    <x v="0"/>
    <x v="0"/>
    <s v="Email Campaign"/>
    <s v="45-54"/>
    <n v="20"/>
    <n v="18"/>
  </r>
  <r>
    <x v="265"/>
    <s v="North America"/>
    <x v="0"/>
    <x v="0"/>
    <s v="Organic"/>
    <s v="35-44"/>
    <n v="20"/>
    <n v="7"/>
  </r>
  <r>
    <x v="266"/>
    <s v="North America"/>
    <x v="1"/>
    <x v="1"/>
    <s v="Email Campaign"/>
    <s v="35-44"/>
    <n v="50"/>
    <n v="14"/>
  </r>
  <r>
    <x v="267"/>
    <s v="Africa"/>
    <x v="0"/>
    <x v="0"/>
    <s v="Ads"/>
    <s v="45-54"/>
    <n v="20"/>
    <n v="7"/>
  </r>
  <r>
    <x v="268"/>
    <s v="Europe"/>
    <x v="5"/>
    <x v="2"/>
    <s v="Ads"/>
    <s v="55+"/>
    <n v="0"/>
    <n v="6"/>
  </r>
  <r>
    <x v="269"/>
    <s v="Europe"/>
    <x v="0"/>
    <x v="0"/>
    <s v="Referral"/>
    <s v="25-34"/>
    <n v="20"/>
    <n v="0"/>
  </r>
  <r>
    <x v="270"/>
    <s v="South America"/>
    <x v="2"/>
    <x v="0"/>
    <s v="Referral"/>
    <s v="18-24"/>
    <n v="20"/>
    <n v="16"/>
  </r>
  <r>
    <x v="271"/>
    <s v="Asia"/>
    <x v="0"/>
    <x v="1"/>
    <s v="Organic"/>
    <s v="18-24"/>
    <n v="50"/>
    <n v="7"/>
  </r>
  <r>
    <x v="272"/>
    <s v="South America"/>
    <x v="1"/>
    <x v="1"/>
    <s v="Ads"/>
    <s v="25-34"/>
    <n v="50"/>
    <n v="14"/>
  </r>
  <r>
    <x v="273"/>
    <s v="Europe"/>
    <x v="3"/>
    <x v="0"/>
    <s v="Referral"/>
    <s v="55+"/>
    <n v="20"/>
    <n v="6"/>
  </r>
  <r>
    <x v="274"/>
    <s v="North America"/>
    <x v="5"/>
    <x v="0"/>
    <s v="Referral"/>
    <s v="35-44"/>
    <n v="20"/>
    <n v="12"/>
  </r>
  <r>
    <x v="275"/>
    <s v="Europe"/>
    <x v="5"/>
    <x v="1"/>
    <s v="Ads"/>
    <s v="25-34"/>
    <n v="50"/>
    <n v="5"/>
  </r>
  <r>
    <x v="276"/>
    <s v="Africa"/>
    <x v="1"/>
    <x v="1"/>
    <s v="Organic"/>
    <s v="18-24"/>
    <n v="50"/>
    <n v="18"/>
  </r>
  <r>
    <x v="277"/>
    <s v="South America"/>
    <x v="5"/>
    <x v="0"/>
    <s v="Ads"/>
    <s v="45-54"/>
    <n v="20"/>
    <n v="16"/>
  </r>
  <r>
    <x v="278"/>
    <s v="Africa"/>
    <x v="5"/>
    <x v="1"/>
    <s v="Referral"/>
    <s v="55+"/>
    <n v="50"/>
    <n v="1"/>
  </r>
  <r>
    <x v="279"/>
    <s v="North America"/>
    <x v="0"/>
    <x v="2"/>
    <s v="Ads"/>
    <s v="18-24"/>
    <n v="0"/>
    <n v="6"/>
  </r>
  <r>
    <x v="280"/>
    <s v="Asia"/>
    <x v="3"/>
    <x v="2"/>
    <s v="Email Campaign"/>
    <s v="25-34"/>
    <n v="0"/>
    <n v="11"/>
  </r>
  <r>
    <x v="281"/>
    <s v="South America"/>
    <x v="5"/>
    <x v="0"/>
    <s v="Email Campaign"/>
    <s v="45-54"/>
    <n v="20"/>
    <n v="9"/>
  </r>
  <r>
    <x v="282"/>
    <s v="North America"/>
    <x v="0"/>
    <x v="2"/>
    <s v="Organic"/>
    <s v="55+"/>
    <n v="0"/>
    <n v="12"/>
  </r>
  <r>
    <x v="283"/>
    <s v="Africa"/>
    <x v="1"/>
    <x v="0"/>
    <s v="Email Campaign"/>
    <s v="35-44"/>
    <n v="20"/>
    <n v="12"/>
  </r>
  <r>
    <x v="284"/>
    <s v="Africa"/>
    <x v="1"/>
    <x v="0"/>
    <s v="Email Campaign"/>
    <s v="25-34"/>
    <n v="20"/>
    <n v="9"/>
  </r>
  <r>
    <x v="285"/>
    <s v="South America"/>
    <x v="3"/>
    <x v="0"/>
    <s v="Email Campaign"/>
    <s v="45-54"/>
    <n v="20"/>
    <n v="4"/>
  </r>
  <r>
    <x v="286"/>
    <s v="South America"/>
    <x v="0"/>
    <x v="0"/>
    <s v="Ads"/>
    <s v="35-44"/>
    <n v="20"/>
    <n v="16"/>
  </r>
  <r>
    <x v="287"/>
    <s v="Asia"/>
    <x v="0"/>
    <x v="1"/>
    <s v="Ads"/>
    <s v="18-24"/>
    <n v="50"/>
    <n v="10"/>
  </r>
  <r>
    <x v="288"/>
    <s v="Europe"/>
    <x v="5"/>
    <x v="1"/>
    <s v="Referral"/>
    <s v="18-24"/>
    <n v="50"/>
    <n v="6"/>
  </r>
  <r>
    <x v="289"/>
    <s v="Asia"/>
    <x v="1"/>
    <x v="0"/>
    <s v="Email Campaign"/>
    <s v="18-24"/>
    <n v="20"/>
    <n v="6"/>
  </r>
  <r>
    <x v="290"/>
    <s v="Europe"/>
    <x v="5"/>
    <x v="2"/>
    <s v="Organic"/>
    <s v="45-54"/>
    <n v="0"/>
    <n v="11"/>
  </r>
  <r>
    <x v="291"/>
    <s v="North America"/>
    <x v="3"/>
    <x v="2"/>
    <s v="Email Campaign"/>
    <s v="25-34"/>
    <n v="0"/>
    <n v="14"/>
  </r>
  <r>
    <x v="292"/>
    <s v="North America"/>
    <x v="3"/>
    <x v="2"/>
    <s v="Ads"/>
    <s v="35-44"/>
    <n v="0"/>
    <n v="1"/>
  </r>
  <r>
    <x v="293"/>
    <s v="Africa"/>
    <x v="1"/>
    <x v="2"/>
    <s v="Organic"/>
    <s v="18-24"/>
    <n v="0"/>
    <n v="16"/>
  </r>
  <r>
    <x v="294"/>
    <s v="South America"/>
    <x v="3"/>
    <x v="1"/>
    <s v="Referral"/>
    <s v="45-54"/>
    <n v="50"/>
    <n v="7"/>
  </r>
  <r>
    <x v="295"/>
    <s v="Africa"/>
    <x v="2"/>
    <x v="0"/>
    <s v="Referral"/>
    <s v="45-54"/>
    <n v="20"/>
    <n v="14"/>
  </r>
  <r>
    <x v="296"/>
    <s v="South America"/>
    <x v="0"/>
    <x v="2"/>
    <s v="Referral"/>
    <s v="35-44"/>
    <n v="0"/>
    <n v="13"/>
  </r>
  <r>
    <x v="297"/>
    <s v="Africa"/>
    <x v="5"/>
    <x v="1"/>
    <s v="Referral"/>
    <s v="35-44"/>
    <n v="50"/>
    <n v="18"/>
  </r>
  <r>
    <x v="298"/>
    <s v="Africa"/>
    <x v="2"/>
    <x v="0"/>
    <s v="Organic"/>
    <s v="18-24"/>
    <n v="20"/>
    <n v="10"/>
  </r>
  <r>
    <x v="299"/>
    <s v="Asia"/>
    <x v="1"/>
    <x v="0"/>
    <s v="Organic"/>
    <s v="55+"/>
    <n v="20"/>
    <n v="17"/>
  </r>
  <r>
    <x v="300"/>
    <s v="Europe"/>
    <x v="0"/>
    <x v="0"/>
    <s v="Ads"/>
    <s v="55+"/>
    <n v="20"/>
    <n v="20"/>
  </r>
  <r>
    <x v="301"/>
    <s v="South America"/>
    <x v="1"/>
    <x v="1"/>
    <s v="Ads"/>
    <s v="35-44"/>
    <n v="50"/>
    <n v="4"/>
  </r>
  <r>
    <x v="302"/>
    <s v="North America"/>
    <x v="2"/>
    <x v="1"/>
    <s v="Ads"/>
    <s v="55+"/>
    <n v="50"/>
    <n v="18"/>
  </r>
  <r>
    <x v="303"/>
    <s v="Europe"/>
    <x v="3"/>
    <x v="1"/>
    <s v="Email Campaign"/>
    <s v="45-54"/>
    <n v="50"/>
    <n v="11"/>
  </r>
  <r>
    <x v="304"/>
    <s v="North America"/>
    <x v="3"/>
    <x v="2"/>
    <s v="Organic"/>
    <s v="45-54"/>
    <n v="0"/>
    <n v="3"/>
  </r>
  <r>
    <x v="305"/>
    <s v="Europe"/>
    <x v="5"/>
    <x v="0"/>
    <s v="Email Campaign"/>
    <s v="18-24"/>
    <n v="20"/>
    <n v="20"/>
  </r>
  <r>
    <x v="306"/>
    <s v="North America"/>
    <x v="2"/>
    <x v="0"/>
    <s v="Email Campaign"/>
    <s v="35-44"/>
    <n v="20"/>
    <n v="10"/>
  </r>
  <r>
    <x v="307"/>
    <s v="South America"/>
    <x v="3"/>
    <x v="1"/>
    <s v="Email Campaign"/>
    <s v="25-34"/>
    <n v="50"/>
    <n v="13"/>
  </r>
  <r>
    <x v="308"/>
    <s v="Asia"/>
    <x v="5"/>
    <x v="0"/>
    <s v="Email Campaign"/>
    <s v="35-44"/>
    <n v="20"/>
    <n v="6"/>
  </r>
  <r>
    <x v="309"/>
    <s v="North America"/>
    <x v="3"/>
    <x v="1"/>
    <s v="Email Campaign"/>
    <s v="18-24"/>
    <n v="50"/>
    <n v="14"/>
  </r>
  <r>
    <x v="310"/>
    <s v="Asia"/>
    <x v="5"/>
    <x v="1"/>
    <s v="Ads"/>
    <s v="55+"/>
    <n v="50"/>
    <n v="4"/>
  </r>
  <r>
    <x v="311"/>
    <s v="Africa"/>
    <x v="1"/>
    <x v="1"/>
    <s v="Ads"/>
    <s v="35-44"/>
    <n v="50"/>
    <n v="8"/>
  </r>
  <r>
    <x v="312"/>
    <s v="South America"/>
    <x v="1"/>
    <x v="2"/>
    <s v="Ads"/>
    <s v="35-44"/>
    <n v="0"/>
    <n v="17"/>
  </r>
  <r>
    <x v="313"/>
    <s v="North America"/>
    <x v="5"/>
    <x v="0"/>
    <s v="Email Campaign"/>
    <s v="45-54"/>
    <n v="20"/>
    <n v="4"/>
  </r>
  <r>
    <x v="314"/>
    <s v="North America"/>
    <x v="3"/>
    <x v="0"/>
    <s v="Ads"/>
    <s v="45-54"/>
    <n v="20"/>
    <n v="18"/>
  </r>
  <r>
    <x v="315"/>
    <s v="Asia"/>
    <x v="5"/>
    <x v="2"/>
    <s v="Email Campaign"/>
    <s v="45-54"/>
    <n v="0"/>
    <n v="13"/>
  </r>
  <r>
    <x v="316"/>
    <s v="South America"/>
    <x v="1"/>
    <x v="2"/>
    <s v="Referral"/>
    <s v="35-44"/>
    <n v="0"/>
    <n v="15"/>
  </r>
  <r>
    <x v="317"/>
    <s v="Europe"/>
    <x v="5"/>
    <x v="1"/>
    <s v="Referral"/>
    <s v="45-54"/>
    <n v="50"/>
    <n v="13"/>
  </r>
  <r>
    <x v="318"/>
    <s v="Europe"/>
    <x v="2"/>
    <x v="0"/>
    <s v="Email Campaign"/>
    <s v="45-54"/>
    <n v="20"/>
    <n v="8"/>
  </r>
  <r>
    <x v="319"/>
    <s v="Africa"/>
    <x v="3"/>
    <x v="2"/>
    <s v="Organic"/>
    <s v="25-34"/>
    <n v="0"/>
    <n v="20"/>
  </r>
  <r>
    <x v="320"/>
    <s v="Asia"/>
    <x v="0"/>
    <x v="0"/>
    <s v="Ads"/>
    <s v="45-54"/>
    <n v="20"/>
    <n v="17"/>
  </r>
  <r>
    <x v="321"/>
    <s v="Africa"/>
    <x v="3"/>
    <x v="2"/>
    <s v="Referral"/>
    <s v="18-24"/>
    <n v="0"/>
    <n v="5"/>
  </r>
  <r>
    <x v="322"/>
    <s v="South America"/>
    <x v="3"/>
    <x v="2"/>
    <s v="Ads"/>
    <s v="25-34"/>
    <n v="0"/>
    <n v="12"/>
  </r>
  <r>
    <x v="323"/>
    <s v="North America"/>
    <x v="3"/>
    <x v="2"/>
    <s v="Organic"/>
    <s v="35-44"/>
    <n v="0"/>
    <n v="19"/>
  </r>
  <r>
    <x v="324"/>
    <s v="Asia"/>
    <x v="2"/>
    <x v="1"/>
    <s v="Ads"/>
    <s v="35-44"/>
    <n v="50"/>
    <n v="17"/>
  </r>
  <r>
    <x v="325"/>
    <s v="Europe"/>
    <x v="1"/>
    <x v="2"/>
    <s v="Organic"/>
    <s v="25-34"/>
    <n v="0"/>
    <n v="3"/>
  </r>
  <r>
    <x v="326"/>
    <s v="North America"/>
    <x v="1"/>
    <x v="2"/>
    <s v="Organic"/>
    <s v="45-54"/>
    <n v="0"/>
    <n v="5"/>
  </r>
  <r>
    <x v="327"/>
    <s v="Europe"/>
    <x v="5"/>
    <x v="2"/>
    <s v="Ads"/>
    <s v="45-54"/>
    <n v="0"/>
    <n v="7"/>
  </r>
  <r>
    <x v="328"/>
    <s v="Africa"/>
    <x v="5"/>
    <x v="2"/>
    <s v="Referral"/>
    <s v="35-44"/>
    <n v="0"/>
    <n v="19"/>
  </r>
  <r>
    <x v="329"/>
    <s v="Africa"/>
    <x v="0"/>
    <x v="0"/>
    <s v="Email Campaign"/>
    <s v="18-24"/>
    <n v="20"/>
    <n v="15"/>
  </r>
  <r>
    <x v="330"/>
    <s v="South America"/>
    <x v="5"/>
    <x v="1"/>
    <s v="Email Campaign"/>
    <s v="45-54"/>
    <n v="50"/>
    <n v="1"/>
  </r>
  <r>
    <x v="331"/>
    <s v="Africa"/>
    <x v="5"/>
    <x v="2"/>
    <s v="Email Campaign"/>
    <s v="35-44"/>
    <n v="0"/>
    <n v="12"/>
  </r>
  <r>
    <x v="332"/>
    <s v="North America"/>
    <x v="3"/>
    <x v="0"/>
    <s v="Referral"/>
    <s v="35-44"/>
    <n v="20"/>
    <n v="15"/>
  </r>
  <r>
    <x v="333"/>
    <s v="South America"/>
    <x v="0"/>
    <x v="1"/>
    <s v="Ads"/>
    <s v="35-44"/>
    <n v="50"/>
    <n v="11"/>
  </r>
  <r>
    <x v="334"/>
    <s v="Europe"/>
    <x v="0"/>
    <x v="2"/>
    <s v="Organic"/>
    <s v="45-54"/>
    <n v="0"/>
    <n v="8"/>
  </r>
  <r>
    <x v="335"/>
    <s v="South America"/>
    <x v="0"/>
    <x v="1"/>
    <s v="Ads"/>
    <s v="18-24"/>
    <n v="50"/>
    <n v="1"/>
  </r>
  <r>
    <x v="336"/>
    <s v="Africa"/>
    <x v="3"/>
    <x v="2"/>
    <s v="Referral"/>
    <s v="45-54"/>
    <n v="0"/>
    <n v="9"/>
  </r>
  <r>
    <x v="337"/>
    <s v="Africa"/>
    <x v="1"/>
    <x v="1"/>
    <s v="Organic"/>
    <s v="18-24"/>
    <n v="50"/>
    <n v="18"/>
  </r>
  <r>
    <x v="338"/>
    <s v="Africa"/>
    <x v="2"/>
    <x v="1"/>
    <s v="Ads"/>
    <s v="18-24"/>
    <n v="50"/>
    <n v="19"/>
  </r>
  <r>
    <x v="339"/>
    <s v="Africa"/>
    <x v="0"/>
    <x v="2"/>
    <s v="Email Campaign"/>
    <s v="45-54"/>
    <n v="0"/>
    <n v="5"/>
  </r>
  <r>
    <x v="340"/>
    <s v="North America"/>
    <x v="5"/>
    <x v="2"/>
    <s v="Referral"/>
    <s v="45-54"/>
    <n v="0"/>
    <n v="2"/>
  </r>
  <r>
    <x v="341"/>
    <s v="Europe"/>
    <x v="2"/>
    <x v="1"/>
    <s v="Referral"/>
    <s v="45-54"/>
    <n v="50"/>
    <n v="16"/>
  </r>
  <r>
    <x v="342"/>
    <s v="Europe"/>
    <x v="2"/>
    <x v="1"/>
    <s v="Email Campaign"/>
    <s v="55+"/>
    <n v="50"/>
    <n v="10"/>
  </r>
  <r>
    <x v="343"/>
    <s v="Africa"/>
    <x v="1"/>
    <x v="2"/>
    <s v="Referral"/>
    <s v="25-34"/>
    <n v="0"/>
    <n v="6"/>
  </r>
  <r>
    <x v="344"/>
    <s v="Asia"/>
    <x v="0"/>
    <x v="0"/>
    <s v="Ads"/>
    <s v="45-54"/>
    <n v="20"/>
    <n v="17"/>
  </r>
  <r>
    <x v="345"/>
    <s v="Africa"/>
    <x v="5"/>
    <x v="0"/>
    <s v="Referral"/>
    <s v="25-34"/>
    <n v="20"/>
    <n v="15"/>
  </r>
  <r>
    <x v="346"/>
    <s v="South America"/>
    <x v="0"/>
    <x v="2"/>
    <s v="Organic"/>
    <s v="45-54"/>
    <n v="0"/>
    <n v="19"/>
  </r>
  <r>
    <x v="347"/>
    <s v="North America"/>
    <x v="0"/>
    <x v="2"/>
    <s v="Ads"/>
    <s v="45-54"/>
    <n v="0"/>
    <n v="2"/>
  </r>
  <r>
    <x v="348"/>
    <s v="Europe"/>
    <x v="0"/>
    <x v="2"/>
    <s v="Organic"/>
    <s v="25-34"/>
    <n v="0"/>
    <n v="13"/>
  </r>
  <r>
    <x v="349"/>
    <s v="North America"/>
    <x v="0"/>
    <x v="0"/>
    <s v="Organic"/>
    <s v="55+"/>
    <n v="20"/>
    <n v="19"/>
  </r>
  <r>
    <x v="350"/>
    <s v="Asia"/>
    <x v="0"/>
    <x v="0"/>
    <s v="Referral"/>
    <s v="18-24"/>
    <n v="20"/>
    <n v="5"/>
  </r>
  <r>
    <x v="351"/>
    <s v="North America"/>
    <x v="0"/>
    <x v="2"/>
    <s v="Email Campaign"/>
    <s v="35-44"/>
    <n v="0"/>
    <n v="11"/>
  </r>
  <r>
    <x v="352"/>
    <s v="South America"/>
    <x v="5"/>
    <x v="0"/>
    <s v="Organic"/>
    <s v="55+"/>
    <n v="20"/>
    <n v="19"/>
  </r>
  <r>
    <x v="353"/>
    <s v="South America"/>
    <x v="3"/>
    <x v="1"/>
    <s v="Organic"/>
    <s v="18-24"/>
    <n v="50"/>
    <n v="19"/>
  </r>
  <r>
    <x v="354"/>
    <s v="Europe"/>
    <x v="0"/>
    <x v="2"/>
    <s v="Organic"/>
    <s v="45-54"/>
    <n v="0"/>
    <n v="17"/>
  </r>
  <r>
    <x v="355"/>
    <s v="Europe"/>
    <x v="5"/>
    <x v="1"/>
    <s v="Email Campaign"/>
    <s v="55+"/>
    <n v="50"/>
    <n v="9"/>
  </r>
  <r>
    <x v="356"/>
    <s v="North America"/>
    <x v="5"/>
    <x v="1"/>
    <s v="Organic"/>
    <s v="35-44"/>
    <n v="50"/>
    <n v="4"/>
  </r>
  <r>
    <x v="357"/>
    <s v="North America"/>
    <x v="5"/>
    <x v="2"/>
    <s v="Referral"/>
    <s v="45-54"/>
    <n v="0"/>
    <n v="2"/>
  </r>
  <r>
    <x v="358"/>
    <s v="South America"/>
    <x v="1"/>
    <x v="0"/>
    <s v="Email Campaign"/>
    <s v="25-34"/>
    <n v="20"/>
    <n v="10"/>
  </r>
  <r>
    <x v="359"/>
    <s v="Africa"/>
    <x v="5"/>
    <x v="2"/>
    <s v="Organic"/>
    <s v="18-24"/>
    <n v="0"/>
    <n v="0"/>
  </r>
  <r>
    <x v="360"/>
    <s v="Europe"/>
    <x v="1"/>
    <x v="1"/>
    <s v="Referral"/>
    <s v="45-54"/>
    <n v="50"/>
    <n v="1"/>
  </r>
  <r>
    <x v="361"/>
    <s v="North America"/>
    <x v="3"/>
    <x v="1"/>
    <s v="Email Campaign"/>
    <s v="18-24"/>
    <n v="50"/>
    <n v="17"/>
  </r>
  <r>
    <x v="362"/>
    <s v="Asia"/>
    <x v="0"/>
    <x v="1"/>
    <s v="Organic"/>
    <s v="45-54"/>
    <n v="50"/>
    <n v="19"/>
  </r>
  <r>
    <x v="363"/>
    <s v="Asia"/>
    <x v="1"/>
    <x v="1"/>
    <s v="Organic"/>
    <s v="25-34"/>
    <n v="50"/>
    <n v="14"/>
  </r>
  <r>
    <x v="364"/>
    <s v="North America"/>
    <x v="0"/>
    <x v="1"/>
    <s v="Email Campaign"/>
    <s v="25-34"/>
    <n v="50"/>
    <n v="1"/>
  </r>
  <r>
    <x v="365"/>
    <s v="North America"/>
    <x v="2"/>
    <x v="1"/>
    <s v="Referral"/>
    <s v="18-24"/>
    <n v="50"/>
    <n v="11"/>
  </r>
  <r>
    <x v="366"/>
    <s v="South America"/>
    <x v="1"/>
    <x v="2"/>
    <s v="Ads"/>
    <s v="25-34"/>
    <n v="0"/>
    <n v="0"/>
  </r>
  <r>
    <x v="367"/>
    <s v="North America"/>
    <x v="5"/>
    <x v="1"/>
    <s v="Email Campaign"/>
    <s v="35-44"/>
    <n v="50"/>
    <n v="5"/>
  </r>
  <r>
    <x v="368"/>
    <s v="Africa"/>
    <x v="3"/>
    <x v="1"/>
    <s v="Referral"/>
    <s v="18-24"/>
    <n v="50"/>
    <n v="20"/>
  </r>
  <r>
    <x v="369"/>
    <s v="South America"/>
    <x v="3"/>
    <x v="0"/>
    <s v="Email Campaign"/>
    <s v="45-54"/>
    <n v="20"/>
    <n v="18"/>
  </r>
  <r>
    <x v="370"/>
    <s v="Asia"/>
    <x v="1"/>
    <x v="2"/>
    <s v="Ads"/>
    <s v="18-24"/>
    <n v="0"/>
    <n v="2"/>
  </r>
  <r>
    <x v="371"/>
    <s v="Africa"/>
    <x v="0"/>
    <x v="2"/>
    <s v="Ads"/>
    <s v="45-54"/>
    <n v="0"/>
    <n v="4"/>
  </r>
  <r>
    <x v="372"/>
    <s v="South America"/>
    <x v="5"/>
    <x v="0"/>
    <s v="Email Campaign"/>
    <s v="35-44"/>
    <n v="20"/>
    <n v="1"/>
  </r>
  <r>
    <x v="373"/>
    <s v="Europe"/>
    <x v="1"/>
    <x v="0"/>
    <s v="Referral"/>
    <s v="25-34"/>
    <n v="20"/>
    <n v="2"/>
  </r>
  <r>
    <x v="374"/>
    <s v="Africa"/>
    <x v="2"/>
    <x v="2"/>
    <s v="Organic"/>
    <s v="55+"/>
    <n v="0"/>
    <n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06DF76-5A1B-4B54-8AE9-51174EDABA6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8">
    <pivotField showAll="0"/>
    <pivotField axis="axisRow" showAll="0" sortType="descending">
      <items count="6">
        <item x="2"/>
        <item x="0"/>
        <item x="3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6">
    <i>
      <x/>
    </i>
    <i>
      <x v="3"/>
    </i>
    <i>
      <x v="4"/>
    </i>
    <i>
      <x v="1"/>
    </i>
    <i>
      <x v="2"/>
    </i>
    <i t="grand">
      <x/>
    </i>
  </rowItems>
  <colItems count="1">
    <i/>
  </colItems>
  <dataFields count="1">
    <dataField name="Sum of Monthly Payment ($)" fld="6" baseField="0" baseItem="0"/>
  </dataFields>
  <formats count="3">
    <format dxfId="9">
      <pivotArea collapsedLevelsAreSubtotals="1" fieldPosition="0">
        <references count="1">
          <reference field="1" count="1">
            <x v="0"/>
          </reference>
        </references>
      </pivotArea>
    </format>
    <format dxfId="8">
      <pivotArea collapsedLevelsAreSubtotals="1" fieldPosition="0">
        <references count="1">
          <reference field="1" count="1">
            <x v="3"/>
          </reference>
        </references>
      </pivotArea>
    </format>
    <format dxfId="7">
      <pivotArea collapsedLevelsAreSubtotals="1" fieldPosition="0">
        <references count="1">
          <reference field="1" count="1">
            <x v="3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2CE976-34CB-4074-83B0-DEDCB263E0F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8">
    <pivotField dataField="1" showAll="0"/>
    <pivotField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3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Count of Student ID" fld="0" subtotal="count" baseField="0" baseItem="0"/>
  </dataFields>
  <formats count="2">
    <format dxfId="6">
      <pivotArea collapsedLevelsAreSubtotals="1" fieldPosition="0">
        <references count="1">
          <reference field="3" count="1">
            <x v="2"/>
          </reference>
        </references>
      </pivotArea>
    </format>
    <format dxfId="5">
      <pivotArea collapsedLevelsAreSubtotals="1" fieldPosition="0">
        <references count="1">
          <reference field="3" count="1">
            <x v="0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3">
              <x v="0"/>
              <x v="1"/>
              <x v="2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2CF9EF-C0CE-4A35-B9A2-76FEA902E4A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8">
    <pivotField dataField="1" showAll="0"/>
    <pivotField showAll="0"/>
    <pivotField showAll="0"/>
    <pivotField showAll="0"/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4"/>
  </rowFields>
  <rowItems count="5">
    <i>
      <x v="2"/>
    </i>
    <i>
      <x v="1"/>
    </i>
    <i>
      <x v="3"/>
    </i>
    <i>
      <x/>
    </i>
    <i t="grand">
      <x/>
    </i>
  </rowItems>
  <colItems count="1">
    <i/>
  </colItems>
  <dataFields count="1">
    <dataField name="Count of Student ID" fld="0" subtotal="count" baseField="0" baseItem="0"/>
  </dataFields>
  <formats count="3">
    <format dxfId="4">
      <pivotArea collapsedLevelsAreSubtotals="1" fieldPosition="0">
        <references count="1">
          <reference field="4" count="1">
            <x v="2"/>
          </reference>
        </references>
      </pivotArea>
    </format>
    <format dxfId="3">
      <pivotArea collapsedLevelsAreSubtotals="1" fieldPosition="0">
        <references count="1">
          <reference field="4" count="1">
            <x v="1"/>
          </reference>
        </references>
      </pivotArea>
    </format>
    <format dxfId="2">
      <pivotArea collapsedLevelsAreSubtotals="1" fieldPosition="0">
        <references count="1">
          <reference field="4" count="1">
            <x v="1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4" count="4">
              <x v="0"/>
              <x v="1"/>
              <x v="2"/>
              <x v="3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320C8B-514C-4120-BF00-16DCE1DC974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8"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0"/>
        <item x="4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5"/>
  </rowFields>
  <rowItems count="6">
    <i>
      <x v="2"/>
    </i>
    <i>
      <x v="3"/>
    </i>
    <i>
      <x/>
    </i>
    <i>
      <x v="4"/>
    </i>
    <i>
      <x v="1"/>
    </i>
    <i t="grand">
      <x/>
    </i>
  </rowItems>
  <colItems count="1">
    <i/>
  </colItems>
  <dataFields count="1">
    <dataField name="Sum of Videos Watched (Month)" fld="7" baseField="0" baseItem="0"/>
  </dataFields>
  <formats count="2">
    <format dxfId="1">
      <pivotArea collapsedLevelsAreSubtotals="1" fieldPosition="0">
        <references count="1">
          <reference field="5" count="1">
            <x v="2"/>
          </reference>
        </references>
      </pivotArea>
    </format>
    <format dxfId="0">
      <pivotArea collapsedLevelsAreSubtotals="1" fieldPosition="0">
        <references count="1">
          <reference field="5" count="1">
            <x v="3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5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294BA9-E745-4DEC-A695-55CF0236C221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C11" firstHeaderRow="1" firstDataRow="2" firstDataCol="1"/>
  <pivotFields count="8">
    <pivotField dataField="1" showAll="0">
      <items count="3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t="default"/>
      </items>
    </pivotField>
    <pivotField showAll="0"/>
    <pivotField axis="axisRow" showAll="0" sortType="ascending">
      <items count="7">
        <item x="1"/>
        <item x="4"/>
        <item x="3"/>
        <item x="2"/>
        <item x="0"/>
        <item x="5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" count="1" selected="0">
              <x v="1"/>
            </reference>
          </references>
        </pivotArea>
      </autoSortScope>
    </pivotField>
    <pivotField axis="axisCol" showAll="0">
      <items count="4">
        <item h="1" x="2"/>
        <item x="1"/>
        <item h="1" x="0"/>
        <item t="default"/>
      </items>
    </pivotField>
    <pivotField showAll="0"/>
    <pivotField showAll="0"/>
    <pivotField numFmtId="1" showAll="0"/>
    <pivotField numFmtId="1" showAll="0"/>
  </pivotFields>
  <rowFields count="1">
    <field x="2"/>
  </rowFields>
  <rowItems count="7">
    <i>
      <x v="1"/>
    </i>
    <i>
      <x v="5"/>
    </i>
    <i>
      <x/>
    </i>
    <i>
      <x v="3"/>
    </i>
    <i>
      <x v="2"/>
    </i>
    <i>
      <x v="4"/>
    </i>
    <i t="grand">
      <x/>
    </i>
  </rowItems>
  <colFields count="1">
    <field x="3"/>
  </colFields>
  <colItems count="2">
    <i>
      <x v="1"/>
    </i>
    <i t="grand">
      <x/>
    </i>
  </colItems>
  <dataFields count="1">
    <dataField name="Count of Student ID" fld="0" subtotal="count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chartFormats count="2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46EA75-0D7D-47BE-B442-8A351121E115}" name="Table2" displayName="Table2" ref="A1:K376" totalsRowShown="0" headerRowDxfId="33" headerRowBorderDxfId="32" tableBorderDxfId="31">
  <autoFilter ref="A1:K376" xr:uid="{C146EA75-0D7D-47BE-B442-8A351121E115}"/>
  <tableColumns count="11">
    <tableColumn id="1" xr3:uid="{73BD88BB-02A3-403F-BCF9-1A06EC20FA2B}" name="Student ID" dataDxfId="30"/>
    <tableColumn id="2" xr3:uid="{B23A15C4-EB83-453A-8690-B57A15A7E837}" name="Region"/>
    <tableColumn id="3" xr3:uid="{C8C4D4B8-CC7E-47F9-BF24-9D1751B1FB26}" name="Course Name" dataDxfId="29"/>
    <tableColumn id="4" xr3:uid="{A6E63536-644A-48BA-9138-F9671AC2087D}" name="Subscription Type" dataDxfId="28"/>
    <tableColumn id="5" xr3:uid="{84802B41-5D1A-411A-AF14-DA8B12E39804}" name="Signup Channel" dataDxfId="27"/>
    <tableColumn id="6" xr3:uid="{1B1DC715-B13E-4605-B8A6-31354D08B1DC}" name="Age Group" dataDxfId="26"/>
    <tableColumn id="7" xr3:uid="{8C4C1CC8-F74B-4BCB-B4D5-0E5EBA53B3DD}" name="Monthly Payment ($)" dataDxfId="25"/>
    <tableColumn id="8" xr3:uid="{688FDCF9-114D-4407-B412-0FB9328D4D4E}" name="Videos Watched (Month)" dataDxfId="24"/>
    <tableColumn id="9" xr3:uid="{4899AA6C-91B9-4AC3-BF6A-EB4326E8CEE8}" name="Missing Info" dataDxfId="23">
      <calculatedColumnFormula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calculatedColumnFormula>
    </tableColumn>
    <tableColumn id="10" xr3:uid="{92E0FD32-84F9-4828-93F3-E9F71F6CFE3D}" name="Duplicate Info" dataDxfId="22">
      <calculatedColumnFormula>IF(COUNTIF(Table2[Student ID],Table2[[#This Row],[Student ID]])&gt;1,"Duplicate","OK")</calculatedColumnFormula>
    </tableColumn>
    <tableColumn id="11" xr3:uid="{F6008F74-640A-49C0-A17D-9C33B549FF3E}" name="Range Validation" dataDxfId="21">
      <calculatedColumnFormula>IF(Table2[[#This Row],[Monthly Payment ($)]]&gt;50, "Unusual","OK")</calculatedColumnFormula>
    </tableColumn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F7AB1A-12EA-4785-9D7C-19796FC5514D}" name="Table1" displayName="Table1" ref="A1:H376" totalsRowShown="0" headerRowDxfId="20" headerRowBorderDxfId="19" tableBorderDxfId="18">
  <autoFilter ref="A1:H376" xr:uid="{86F7AB1A-12EA-4785-9D7C-19796FC5514D}"/>
  <tableColumns count="8">
    <tableColumn id="1" xr3:uid="{0EBBEF96-EC65-4DD5-87BC-53B7F4D9838A}" name="Student ID" dataDxfId="17"/>
    <tableColumn id="2" xr3:uid="{9A8C3321-040F-4B31-9F22-99A9E13BDC86}" name="Region" dataDxfId="16"/>
    <tableColumn id="3" xr3:uid="{9F474FCC-E252-4D3D-9843-02FD7ACE1422}" name="Course Name" dataDxfId="15"/>
    <tableColumn id="4" xr3:uid="{E778AC57-BFC1-4117-A0E7-44F0F8FF55DD}" name="Subscription Type" dataDxfId="14"/>
    <tableColumn id="5" xr3:uid="{AA5452D1-6F93-4160-B0C1-AB5C60E7E927}" name="Signup Channel" dataDxfId="13"/>
    <tableColumn id="6" xr3:uid="{4A0B5D1E-40A2-4A1F-BC92-78368133FE8B}" name="Age Group" dataDxfId="12"/>
    <tableColumn id="7" xr3:uid="{053EA009-2DE8-4F4D-836A-B6BF74FCCA53}" name="Monthly Payment ($)" dataDxfId="11"/>
    <tableColumn id="8" xr3:uid="{7D7B7F37-3E04-4C4C-8727-3856D02D89B9}" name="Videos Watched (Month)" dataDxfId="1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I4" sqref="I4"/>
    </sheetView>
  </sheetViews>
  <sheetFormatPr defaultRowHeight="14.5" x14ac:dyDescent="0.35"/>
  <sheetData>
    <row r="1" spans="1:4" ht="23.5" x14ac:dyDescent="0.35">
      <c r="A1" s="19" t="s">
        <v>428</v>
      </c>
      <c r="B1" s="20"/>
      <c r="C1" s="20"/>
      <c r="D1" s="20"/>
    </row>
    <row r="2" spans="1:4" x14ac:dyDescent="0.35">
      <c r="A2" t="s">
        <v>429</v>
      </c>
    </row>
    <row r="4" spans="1:4" x14ac:dyDescent="0.35">
      <c r="A4" t="s">
        <v>0</v>
      </c>
    </row>
    <row r="5" spans="1:4" x14ac:dyDescent="0.35">
      <c r="A5" t="s">
        <v>1</v>
      </c>
    </row>
    <row r="7" spans="1:4" x14ac:dyDescent="0.35">
      <c r="A7" s="18" t="s">
        <v>443</v>
      </c>
    </row>
    <row r="8" spans="1:4" x14ac:dyDescent="0.35">
      <c r="A8" t="s">
        <v>444</v>
      </c>
    </row>
    <row r="10" spans="1:4" x14ac:dyDescent="0.35">
      <c r="A10" s="18" t="s">
        <v>430</v>
      </c>
    </row>
    <row r="11" spans="1:4" x14ac:dyDescent="0.35">
      <c r="A11" t="s">
        <v>442</v>
      </c>
    </row>
    <row r="13" spans="1:4" x14ac:dyDescent="0.35">
      <c r="A13" s="18" t="s">
        <v>436</v>
      </c>
    </row>
    <row r="14" spans="1:4" x14ac:dyDescent="0.35">
      <c r="A14" t="s">
        <v>437</v>
      </c>
    </row>
    <row r="15" spans="1:4" x14ac:dyDescent="0.35">
      <c r="A15" t="s">
        <v>438</v>
      </c>
    </row>
    <row r="16" spans="1:4" x14ac:dyDescent="0.35">
      <c r="A16" t="s">
        <v>439</v>
      </c>
    </row>
    <row r="17" spans="1:1" x14ac:dyDescent="0.35">
      <c r="A17" t="s">
        <v>440</v>
      </c>
    </row>
    <row r="18" spans="1:1" x14ac:dyDescent="0.35">
      <c r="A18" t="s">
        <v>441</v>
      </c>
    </row>
    <row r="20" spans="1:1" x14ac:dyDescent="0.35">
      <c r="A20" s="18" t="s">
        <v>431</v>
      </c>
    </row>
    <row r="21" spans="1:1" x14ac:dyDescent="0.35">
      <c r="A21" t="s">
        <v>432</v>
      </c>
    </row>
    <row r="22" spans="1:1" x14ac:dyDescent="0.35">
      <c r="A22" t="s">
        <v>433</v>
      </c>
    </row>
    <row r="23" spans="1:1" x14ac:dyDescent="0.35">
      <c r="A23" t="s">
        <v>434</v>
      </c>
    </row>
    <row r="24" spans="1:1" x14ac:dyDescent="0.35">
      <c r="A24" t="s">
        <v>435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6"/>
  <sheetViews>
    <sheetView workbookViewId="0">
      <selection activeCell="C18" sqref="C18"/>
    </sheetView>
  </sheetViews>
  <sheetFormatPr defaultRowHeight="14.5" x14ac:dyDescent="0.35"/>
  <sheetData>
    <row r="1" spans="1:8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35">
      <c r="A2" t="s">
        <v>10</v>
      </c>
      <c r="B2" t="s">
        <v>385</v>
      </c>
      <c r="C2" t="s">
        <v>390</v>
      </c>
      <c r="D2" t="s">
        <v>395</v>
      </c>
      <c r="E2" t="s">
        <v>398</v>
      </c>
      <c r="F2" t="s">
        <v>402</v>
      </c>
      <c r="G2">
        <v>20</v>
      </c>
      <c r="H2">
        <v>3</v>
      </c>
    </row>
    <row r="3" spans="1:8" x14ac:dyDescent="0.35">
      <c r="A3" t="s">
        <v>11</v>
      </c>
      <c r="B3" t="s">
        <v>386</v>
      </c>
      <c r="C3" t="s">
        <v>391</v>
      </c>
      <c r="D3" t="s">
        <v>395</v>
      </c>
      <c r="E3" t="s">
        <v>398</v>
      </c>
      <c r="F3" t="s">
        <v>402</v>
      </c>
      <c r="G3">
        <v>20</v>
      </c>
      <c r="H3">
        <v>17</v>
      </c>
    </row>
    <row r="4" spans="1:8" x14ac:dyDescent="0.35">
      <c r="A4" t="s">
        <v>12</v>
      </c>
      <c r="B4" t="s">
        <v>387</v>
      </c>
      <c r="C4" t="s">
        <v>392</v>
      </c>
      <c r="D4" t="s">
        <v>396</v>
      </c>
      <c r="E4" t="s">
        <v>399</v>
      </c>
      <c r="F4" t="s">
        <v>403</v>
      </c>
      <c r="G4">
        <v>50</v>
      </c>
      <c r="H4">
        <v>15</v>
      </c>
    </row>
    <row r="5" spans="1:8" x14ac:dyDescent="0.35">
      <c r="A5" t="s">
        <v>13</v>
      </c>
      <c r="B5" t="s">
        <v>388</v>
      </c>
      <c r="C5" t="s">
        <v>391</v>
      </c>
      <c r="D5" t="s">
        <v>397</v>
      </c>
      <c r="E5" t="s">
        <v>400</v>
      </c>
      <c r="F5" t="s">
        <v>402</v>
      </c>
      <c r="G5">
        <v>0</v>
      </c>
      <c r="H5">
        <v>10</v>
      </c>
    </row>
    <row r="6" spans="1:8" x14ac:dyDescent="0.35">
      <c r="A6" t="s">
        <v>14</v>
      </c>
      <c r="B6" t="s">
        <v>389</v>
      </c>
      <c r="C6" t="s">
        <v>392</v>
      </c>
      <c r="D6" t="s">
        <v>395</v>
      </c>
      <c r="E6" t="s">
        <v>399</v>
      </c>
      <c r="F6" t="s">
        <v>404</v>
      </c>
      <c r="G6">
        <v>20</v>
      </c>
      <c r="H6">
        <v>15</v>
      </c>
    </row>
    <row r="7" spans="1:8" x14ac:dyDescent="0.35">
      <c r="A7" t="s">
        <v>15</v>
      </c>
      <c r="B7" t="s">
        <v>388</v>
      </c>
      <c r="C7" t="s">
        <v>390</v>
      </c>
      <c r="D7" t="s">
        <v>397</v>
      </c>
      <c r="E7" t="s">
        <v>401</v>
      </c>
      <c r="F7" t="s">
        <v>403</v>
      </c>
      <c r="G7">
        <v>0</v>
      </c>
      <c r="H7">
        <v>6</v>
      </c>
    </row>
    <row r="8" spans="1:8" x14ac:dyDescent="0.35">
      <c r="A8" t="s">
        <v>16</v>
      </c>
      <c r="B8" t="s">
        <v>387</v>
      </c>
      <c r="C8" t="s">
        <v>393</v>
      </c>
      <c r="D8" t="s">
        <v>396</v>
      </c>
      <c r="E8" t="s">
        <v>401</v>
      </c>
      <c r="F8" t="s">
        <v>403</v>
      </c>
      <c r="G8">
        <v>50</v>
      </c>
      <c r="H8">
        <v>6</v>
      </c>
    </row>
    <row r="9" spans="1:8" x14ac:dyDescent="0.35">
      <c r="A9" t="s">
        <v>17</v>
      </c>
      <c r="B9" t="s">
        <v>385</v>
      </c>
      <c r="C9" t="s">
        <v>392</v>
      </c>
      <c r="D9" t="s">
        <v>396</v>
      </c>
      <c r="E9" t="s">
        <v>401</v>
      </c>
      <c r="F9" t="s">
        <v>404</v>
      </c>
      <c r="G9">
        <v>50</v>
      </c>
      <c r="H9">
        <v>14</v>
      </c>
    </row>
    <row r="10" spans="1:8" x14ac:dyDescent="0.35">
      <c r="A10" t="s">
        <v>18</v>
      </c>
      <c r="B10" t="s">
        <v>387</v>
      </c>
      <c r="C10" t="s">
        <v>392</v>
      </c>
      <c r="D10" t="s">
        <v>397</v>
      </c>
      <c r="E10" t="s">
        <v>399</v>
      </c>
      <c r="F10" t="s">
        <v>405</v>
      </c>
      <c r="G10">
        <v>0</v>
      </c>
      <c r="H10">
        <v>20</v>
      </c>
    </row>
    <row r="11" spans="1:8" x14ac:dyDescent="0.35">
      <c r="A11" t="s">
        <v>19</v>
      </c>
      <c r="B11" t="s">
        <v>389</v>
      </c>
      <c r="C11" t="s">
        <v>394</v>
      </c>
      <c r="D11" t="s">
        <v>396</v>
      </c>
      <c r="E11" t="s">
        <v>401</v>
      </c>
      <c r="F11" t="s">
        <v>405</v>
      </c>
      <c r="G11">
        <v>50</v>
      </c>
      <c r="H11">
        <v>18</v>
      </c>
    </row>
    <row r="12" spans="1:8" x14ac:dyDescent="0.35">
      <c r="A12" t="s">
        <v>20</v>
      </c>
      <c r="B12" t="s">
        <v>387</v>
      </c>
      <c r="C12" t="s">
        <v>390</v>
      </c>
      <c r="D12" t="s">
        <v>396</v>
      </c>
      <c r="E12" t="s">
        <v>398</v>
      </c>
      <c r="F12" t="s">
        <v>404</v>
      </c>
      <c r="G12">
        <v>50</v>
      </c>
      <c r="H12">
        <v>15</v>
      </c>
    </row>
    <row r="13" spans="1:8" x14ac:dyDescent="0.35">
      <c r="A13" t="s">
        <v>21</v>
      </c>
      <c r="B13" t="s">
        <v>388</v>
      </c>
      <c r="C13" t="s">
        <v>393</v>
      </c>
      <c r="D13" t="s">
        <v>395</v>
      </c>
      <c r="E13" t="s">
        <v>401</v>
      </c>
      <c r="F13" t="s">
        <v>403</v>
      </c>
      <c r="G13">
        <v>20</v>
      </c>
      <c r="H13">
        <v>1</v>
      </c>
    </row>
    <row r="14" spans="1:8" x14ac:dyDescent="0.35">
      <c r="A14" t="s">
        <v>22</v>
      </c>
      <c r="B14" t="s">
        <v>389</v>
      </c>
      <c r="C14" t="s">
        <v>394</v>
      </c>
      <c r="D14" t="s">
        <v>395</v>
      </c>
      <c r="E14" t="s">
        <v>400</v>
      </c>
      <c r="F14" t="s">
        <v>403</v>
      </c>
      <c r="G14">
        <v>20</v>
      </c>
      <c r="H14">
        <v>8</v>
      </c>
    </row>
    <row r="15" spans="1:8" x14ac:dyDescent="0.35">
      <c r="A15" t="s">
        <v>23</v>
      </c>
      <c r="B15" t="s">
        <v>387</v>
      </c>
      <c r="C15" t="s">
        <v>393</v>
      </c>
      <c r="D15" t="s">
        <v>396</v>
      </c>
      <c r="E15" t="s">
        <v>401</v>
      </c>
      <c r="F15" t="s">
        <v>405</v>
      </c>
      <c r="G15">
        <v>50</v>
      </c>
      <c r="H15">
        <v>20</v>
      </c>
    </row>
    <row r="16" spans="1:8" x14ac:dyDescent="0.35">
      <c r="A16" t="s">
        <v>24</v>
      </c>
      <c r="B16" t="s">
        <v>388</v>
      </c>
      <c r="C16" t="s">
        <v>394</v>
      </c>
      <c r="D16" t="s">
        <v>397</v>
      </c>
      <c r="E16" t="s">
        <v>401</v>
      </c>
      <c r="F16" t="s">
        <v>403</v>
      </c>
      <c r="G16">
        <v>0</v>
      </c>
      <c r="H16">
        <v>15</v>
      </c>
    </row>
    <row r="17" spans="1:8" x14ac:dyDescent="0.35">
      <c r="A17" t="s">
        <v>25</v>
      </c>
      <c r="B17" t="s">
        <v>386</v>
      </c>
      <c r="C17" t="s">
        <v>391</v>
      </c>
      <c r="D17" t="s">
        <v>395</v>
      </c>
      <c r="E17" t="s">
        <v>401</v>
      </c>
      <c r="F17" t="s">
        <v>403</v>
      </c>
      <c r="G17">
        <v>20</v>
      </c>
      <c r="H17">
        <v>15</v>
      </c>
    </row>
    <row r="18" spans="1:8" x14ac:dyDescent="0.35">
      <c r="A18" t="s">
        <v>26</v>
      </c>
      <c r="B18" t="s">
        <v>389</v>
      </c>
      <c r="C18" t="s">
        <v>392</v>
      </c>
      <c r="D18" t="s">
        <v>397</v>
      </c>
      <c r="E18" t="s">
        <v>398</v>
      </c>
      <c r="F18" t="s">
        <v>403</v>
      </c>
      <c r="G18">
        <v>0</v>
      </c>
      <c r="H18">
        <v>14</v>
      </c>
    </row>
    <row r="19" spans="1:8" x14ac:dyDescent="0.35">
      <c r="A19" t="s">
        <v>27</v>
      </c>
      <c r="B19" t="s">
        <v>386</v>
      </c>
      <c r="C19" t="s">
        <v>393</v>
      </c>
      <c r="D19" t="s">
        <v>397</v>
      </c>
      <c r="E19" t="s">
        <v>401</v>
      </c>
      <c r="F19" t="s">
        <v>402</v>
      </c>
      <c r="G19">
        <v>0</v>
      </c>
      <c r="H19">
        <v>7</v>
      </c>
    </row>
    <row r="20" spans="1:8" x14ac:dyDescent="0.35">
      <c r="A20" t="s">
        <v>28</v>
      </c>
      <c r="B20" t="s">
        <v>388</v>
      </c>
      <c r="C20" t="s">
        <v>392</v>
      </c>
      <c r="D20" t="s">
        <v>395</v>
      </c>
      <c r="E20" t="s">
        <v>398</v>
      </c>
      <c r="F20" t="s">
        <v>402</v>
      </c>
      <c r="G20">
        <v>20</v>
      </c>
      <c r="H20">
        <v>4</v>
      </c>
    </row>
    <row r="21" spans="1:8" x14ac:dyDescent="0.35">
      <c r="A21" t="s">
        <v>29</v>
      </c>
      <c r="B21" t="s">
        <v>389</v>
      </c>
      <c r="C21" t="s">
        <v>390</v>
      </c>
      <c r="D21" t="s">
        <v>397</v>
      </c>
      <c r="E21" t="s">
        <v>400</v>
      </c>
      <c r="F21" t="s">
        <v>404</v>
      </c>
      <c r="G21">
        <v>0</v>
      </c>
      <c r="H21">
        <v>19</v>
      </c>
    </row>
    <row r="22" spans="1:8" x14ac:dyDescent="0.35">
      <c r="A22" t="s">
        <v>30</v>
      </c>
      <c r="B22" t="s">
        <v>386</v>
      </c>
      <c r="C22" t="s">
        <v>391</v>
      </c>
      <c r="D22" t="s">
        <v>395</v>
      </c>
      <c r="E22" t="s">
        <v>399</v>
      </c>
      <c r="F22" t="s">
        <v>404</v>
      </c>
      <c r="G22">
        <v>20</v>
      </c>
      <c r="H22">
        <v>3</v>
      </c>
    </row>
    <row r="23" spans="1:8" x14ac:dyDescent="0.35">
      <c r="A23" t="s">
        <v>31</v>
      </c>
      <c r="B23" t="s">
        <v>387</v>
      </c>
      <c r="C23" t="s">
        <v>393</v>
      </c>
      <c r="D23" t="s">
        <v>395</v>
      </c>
      <c r="E23" t="s">
        <v>399</v>
      </c>
      <c r="F23" t="s">
        <v>404</v>
      </c>
      <c r="G23">
        <v>20</v>
      </c>
      <c r="H23">
        <v>8</v>
      </c>
    </row>
    <row r="24" spans="1:8" x14ac:dyDescent="0.35">
      <c r="A24" t="s">
        <v>32</v>
      </c>
      <c r="B24" t="s">
        <v>386</v>
      </c>
      <c r="C24" t="s">
        <v>390</v>
      </c>
      <c r="D24" t="s">
        <v>395</v>
      </c>
      <c r="E24" t="s">
        <v>401</v>
      </c>
      <c r="F24" t="s">
        <v>404</v>
      </c>
      <c r="G24">
        <v>20</v>
      </c>
      <c r="H24">
        <v>15</v>
      </c>
    </row>
    <row r="25" spans="1:8" x14ac:dyDescent="0.35">
      <c r="A25" t="s">
        <v>33</v>
      </c>
      <c r="B25" t="s">
        <v>389</v>
      </c>
      <c r="C25" t="s">
        <v>392</v>
      </c>
      <c r="D25" t="s">
        <v>397</v>
      </c>
      <c r="E25" t="s">
        <v>398</v>
      </c>
      <c r="F25" t="s">
        <v>403</v>
      </c>
      <c r="G25">
        <v>0</v>
      </c>
      <c r="H25">
        <v>2</v>
      </c>
    </row>
    <row r="26" spans="1:8" x14ac:dyDescent="0.35">
      <c r="A26" t="s">
        <v>34</v>
      </c>
      <c r="B26" t="s">
        <v>389</v>
      </c>
      <c r="C26" t="s">
        <v>391</v>
      </c>
      <c r="D26" t="s">
        <v>396</v>
      </c>
      <c r="E26" t="s">
        <v>398</v>
      </c>
      <c r="F26" t="s">
        <v>403</v>
      </c>
      <c r="G26">
        <v>50</v>
      </c>
      <c r="H26">
        <v>13</v>
      </c>
    </row>
    <row r="27" spans="1:8" x14ac:dyDescent="0.35">
      <c r="A27" t="s">
        <v>35</v>
      </c>
      <c r="B27" t="s">
        <v>389</v>
      </c>
      <c r="C27" t="s">
        <v>393</v>
      </c>
      <c r="D27" t="s">
        <v>397</v>
      </c>
      <c r="E27" t="s">
        <v>399</v>
      </c>
      <c r="F27" t="s">
        <v>405</v>
      </c>
      <c r="G27">
        <v>0</v>
      </c>
      <c r="H27">
        <v>15</v>
      </c>
    </row>
    <row r="28" spans="1:8" x14ac:dyDescent="0.35">
      <c r="A28" t="s">
        <v>36</v>
      </c>
      <c r="B28" t="s">
        <v>386</v>
      </c>
      <c r="C28" t="s">
        <v>390</v>
      </c>
      <c r="D28" t="s">
        <v>396</v>
      </c>
      <c r="E28" t="s">
        <v>400</v>
      </c>
      <c r="F28" t="s">
        <v>406</v>
      </c>
      <c r="G28">
        <v>50</v>
      </c>
      <c r="H28">
        <v>9</v>
      </c>
    </row>
    <row r="29" spans="1:8" x14ac:dyDescent="0.35">
      <c r="A29" t="s">
        <v>37</v>
      </c>
      <c r="B29" t="s">
        <v>387</v>
      </c>
      <c r="C29" t="s">
        <v>394</v>
      </c>
      <c r="D29" t="s">
        <v>397</v>
      </c>
      <c r="E29" t="s">
        <v>399</v>
      </c>
      <c r="F29" t="s">
        <v>402</v>
      </c>
      <c r="G29">
        <v>0</v>
      </c>
      <c r="H29">
        <v>8</v>
      </c>
    </row>
    <row r="30" spans="1:8" x14ac:dyDescent="0.35">
      <c r="A30" t="s">
        <v>38</v>
      </c>
      <c r="B30" t="s">
        <v>386</v>
      </c>
      <c r="C30" t="s">
        <v>391</v>
      </c>
      <c r="D30" t="s">
        <v>395</v>
      </c>
      <c r="E30" t="s">
        <v>400</v>
      </c>
      <c r="F30" t="s">
        <v>404</v>
      </c>
      <c r="G30">
        <v>20</v>
      </c>
      <c r="H30">
        <v>17</v>
      </c>
    </row>
    <row r="31" spans="1:8" x14ac:dyDescent="0.35">
      <c r="A31" t="s">
        <v>39</v>
      </c>
      <c r="B31" t="s">
        <v>385</v>
      </c>
      <c r="C31" t="s">
        <v>393</v>
      </c>
      <c r="D31" t="s">
        <v>395</v>
      </c>
      <c r="E31" t="s">
        <v>399</v>
      </c>
      <c r="F31" t="s">
        <v>403</v>
      </c>
      <c r="G31">
        <v>20</v>
      </c>
      <c r="H31">
        <v>8</v>
      </c>
    </row>
    <row r="32" spans="1:8" x14ac:dyDescent="0.35">
      <c r="A32" t="s">
        <v>40</v>
      </c>
      <c r="B32" t="s">
        <v>389</v>
      </c>
      <c r="C32" t="s">
        <v>390</v>
      </c>
      <c r="D32" t="s">
        <v>396</v>
      </c>
      <c r="E32" t="s">
        <v>398</v>
      </c>
      <c r="F32" t="s">
        <v>406</v>
      </c>
      <c r="G32">
        <v>50</v>
      </c>
      <c r="H32">
        <v>1</v>
      </c>
    </row>
    <row r="33" spans="1:8" x14ac:dyDescent="0.35">
      <c r="A33" t="s">
        <v>41</v>
      </c>
      <c r="B33" t="s">
        <v>387</v>
      </c>
      <c r="C33" t="s">
        <v>391</v>
      </c>
      <c r="D33" t="s">
        <v>397</v>
      </c>
      <c r="E33" t="s">
        <v>401</v>
      </c>
      <c r="F33" t="s">
        <v>404</v>
      </c>
      <c r="G33">
        <v>0</v>
      </c>
      <c r="H33">
        <v>0</v>
      </c>
    </row>
    <row r="34" spans="1:8" x14ac:dyDescent="0.35">
      <c r="A34" t="s">
        <v>42</v>
      </c>
      <c r="B34" t="s">
        <v>387</v>
      </c>
      <c r="C34" t="s">
        <v>392</v>
      </c>
      <c r="D34" t="s">
        <v>396</v>
      </c>
      <c r="E34" t="s">
        <v>398</v>
      </c>
      <c r="F34" t="s">
        <v>406</v>
      </c>
      <c r="G34">
        <v>50</v>
      </c>
      <c r="H34">
        <v>5</v>
      </c>
    </row>
    <row r="35" spans="1:8" x14ac:dyDescent="0.35">
      <c r="A35" t="s">
        <v>43</v>
      </c>
      <c r="B35" t="s">
        <v>385</v>
      </c>
      <c r="C35" t="s">
        <v>392</v>
      </c>
      <c r="D35" t="s">
        <v>396</v>
      </c>
      <c r="E35" t="s">
        <v>400</v>
      </c>
      <c r="F35" t="s">
        <v>403</v>
      </c>
      <c r="G35">
        <v>50</v>
      </c>
      <c r="H35">
        <v>9</v>
      </c>
    </row>
    <row r="36" spans="1:8" x14ac:dyDescent="0.35">
      <c r="A36" t="s">
        <v>44</v>
      </c>
      <c r="B36" t="s">
        <v>385</v>
      </c>
      <c r="C36" t="s">
        <v>393</v>
      </c>
      <c r="D36" t="s">
        <v>397</v>
      </c>
      <c r="E36" t="s">
        <v>401</v>
      </c>
      <c r="F36" t="s">
        <v>403</v>
      </c>
      <c r="G36">
        <v>0</v>
      </c>
      <c r="H36">
        <v>14</v>
      </c>
    </row>
    <row r="37" spans="1:8" x14ac:dyDescent="0.35">
      <c r="A37" t="s">
        <v>45</v>
      </c>
      <c r="B37" t="s">
        <v>388</v>
      </c>
      <c r="C37" t="s">
        <v>393</v>
      </c>
      <c r="D37" t="s">
        <v>396</v>
      </c>
      <c r="E37" t="s">
        <v>400</v>
      </c>
      <c r="F37" t="s">
        <v>404</v>
      </c>
      <c r="G37">
        <v>50</v>
      </c>
      <c r="H37">
        <v>2</v>
      </c>
    </row>
    <row r="38" spans="1:8" x14ac:dyDescent="0.35">
      <c r="A38" t="s">
        <v>46</v>
      </c>
      <c r="B38" t="s">
        <v>389</v>
      </c>
      <c r="C38" t="s">
        <v>392</v>
      </c>
      <c r="D38" t="s">
        <v>395</v>
      </c>
      <c r="E38" t="s">
        <v>401</v>
      </c>
      <c r="F38" t="s">
        <v>405</v>
      </c>
      <c r="G38">
        <v>20</v>
      </c>
      <c r="H38">
        <v>4</v>
      </c>
    </row>
    <row r="39" spans="1:8" x14ac:dyDescent="0.35">
      <c r="A39" t="s">
        <v>47</v>
      </c>
      <c r="B39" t="s">
        <v>385</v>
      </c>
      <c r="C39" t="s">
        <v>391</v>
      </c>
      <c r="D39" t="s">
        <v>397</v>
      </c>
      <c r="E39" t="s">
        <v>399</v>
      </c>
      <c r="F39" t="s">
        <v>402</v>
      </c>
      <c r="G39">
        <v>0</v>
      </c>
      <c r="H39">
        <v>17</v>
      </c>
    </row>
    <row r="40" spans="1:8" x14ac:dyDescent="0.35">
      <c r="A40" t="s">
        <v>48</v>
      </c>
      <c r="B40" t="s">
        <v>389</v>
      </c>
      <c r="C40" t="s">
        <v>392</v>
      </c>
      <c r="D40" t="s">
        <v>396</v>
      </c>
      <c r="E40" t="s">
        <v>401</v>
      </c>
      <c r="F40" t="s">
        <v>404</v>
      </c>
      <c r="G40">
        <v>50</v>
      </c>
      <c r="H40">
        <v>12</v>
      </c>
    </row>
    <row r="41" spans="1:8" x14ac:dyDescent="0.35">
      <c r="A41" t="s">
        <v>49</v>
      </c>
      <c r="B41" t="s">
        <v>389</v>
      </c>
      <c r="C41" t="s">
        <v>390</v>
      </c>
      <c r="D41" t="s">
        <v>396</v>
      </c>
      <c r="E41" t="s">
        <v>400</v>
      </c>
      <c r="F41" t="s">
        <v>402</v>
      </c>
      <c r="G41">
        <v>50</v>
      </c>
      <c r="H41">
        <v>17</v>
      </c>
    </row>
    <row r="42" spans="1:8" x14ac:dyDescent="0.35">
      <c r="A42" t="s">
        <v>50</v>
      </c>
      <c r="B42" t="s">
        <v>385</v>
      </c>
      <c r="C42" t="s">
        <v>394</v>
      </c>
      <c r="D42" t="s">
        <v>396</v>
      </c>
      <c r="E42" t="s">
        <v>400</v>
      </c>
      <c r="F42" t="s">
        <v>402</v>
      </c>
      <c r="G42">
        <v>50</v>
      </c>
      <c r="H42">
        <v>6</v>
      </c>
    </row>
    <row r="43" spans="1:8" x14ac:dyDescent="0.35">
      <c r="A43" t="s">
        <v>51</v>
      </c>
      <c r="B43" t="s">
        <v>387</v>
      </c>
      <c r="C43" t="s">
        <v>393</v>
      </c>
      <c r="D43" t="s">
        <v>395</v>
      </c>
      <c r="E43" t="s">
        <v>400</v>
      </c>
      <c r="F43" t="s">
        <v>404</v>
      </c>
      <c r="G43">
        <v>20</v>
      </c>
      <c r="H43">
        <v>6</v>
      </c>
    </row>
    <row r="44" spans="1:8" x14ac:dyDescent="0.35">
      <c r="A44" t="s">
        <v>52</v>
      </c>
      <c r="B44" t="s">
        <v>389</v>
      </c>
      <c r="C44" t="s">
        <v>390</v>
      </c>
      <c r="D44" t="s">
        <v>395</v>
      </c>
      <c r="E44" t="s">
        <v>399</v>
      </c>
      <c r="F44" t="s">
        <v>406</v>
      </c>
      <c r="G44">
        <v>20</v>
      </c>
      <c r="H44">
        <v>10</v>
      </c>
    </row>
    <row r="45" spans="1:8" x14ac:dyDescent="0.35">
      <c r="A45" t="s">
        <v>53</v>
      </c>
      <c r="B45" t="s">
        <v>386</v>
      </c>
      <c r="C45" t="s">
        <v>390</v>
      </c>
      <c r="D45" t="s">
        <v>396</v>
      </c>
      <c r="E45" t="s">
        <v>399</v>
      </c>
      <c r="F45" t="s">
        <v>402</v>
      </c>
      <c r="G45">
        <v>50</v>
      </c>
      <c r="H45">
        <v>8</v>
      </c>
    </row>
    <row r="46" spans="1:8" x14ac:dyDescent="0.35">
      <c r="A46" t="s">
        <v>54</v>
      </c>
      <c r="B46" t="s">
        <v>388</v>
      </c>
      <c r="C46" t="s">
        <v>390</v>
      </c>
      <c r="D46" t="s">
        <v>395</v>
      </c>
      <c r="E46" t="s">
        <v>399</v>
      </c>
      <c r="F46" t="s">
        <v>402</v>
      </c>
      <c r="G46">
        <v>20</v>
      </c>
      <c r="H46">
        <v>8</v>
      </c>
    </row>
    <row r="47" spans="1:8" x14ac:dyDescent="0.35">
      <c r="A47" t="s">
        <v>55</v>
      </c>
      <c r="B47" t="s">
        <v>386</v>
      </c>
      <c r="C47" t="s">
        <v>394</v>
      </c>
      <c r="D47" t="s">
        <v>396</v>
      </c>
      <c r="E47" t="s">
        <v>399</v>
      </c>
      <c r="F47" t="s">
        <v>405</v>
      </c>
      <c r="G47">
        <v>50</v>
      </c>
      <c r="H47">
        <v>7</v>
      </c>
    </row>
    <row r="48" spans="1:8" x14ac:dyDescent="0.35">
      <c r="A48" t="s">
        <v>56</v>
      </c>
      <c r="B48" t="s">
        <v>389</v>
      </c>
      <c r="C48" t="s">
        <v>393</v>
      </c>
      <c r="D48" t="s">
        <v>396</v>
      </c>
      <c r="E48" t="s">
        <v>401</v>
      </c>
      <c r="F48" t="s">
        <v>406</v>
      </c>
      <c r="G48">
        <v>50</v>
      </c>
      <c r="H48">
        <v>9</v>
      </c>
    </row>
    <row r="49" spans="1:8" x14ac:dyDescent="0.35">
      <c r="A49" t="s">
        <v>57</v>
      </c>
      <c r="B49" t="s">
        <v>389</v>
      </c>
      <c r="C49" t="s">
        <v>394</v>
      </c>
      <c r="D49" t="s">
        <v>397</v>
      </c>
      <c r="E49" t="s">
        <v>400</v>
      </c>
      <c r="F49" t="s">
        <v>405</v>
      </c>
      <c r="G49">
        <v>0</v>
      </c>
      <c r="H49">
        <v>16</v>
      </c>
    </row>
    <row r="50" spans="1:8" x14ac:dyDescent="0.35">
      <c r="A50" t="s">
        <v>58</v>
      </c>
      <c r="B50" t="s">
        <v>387</v>
      </c>
      <c r="C50" t="s">
        <v>393</v>
      </c>
      <c r="D50" t="s">
        <v>396</v>
      </c>
      <c r="E50" t="s">
        <v>400</v>
      </c>
      <c r="F50" t="s">
        <v>403</v>
      </c>
      <c r="G50">
        <v>50</v>
      </c>
      <c r="H50">
        <v>14</v>
      </c>
    </row>
    <row r="51" spans="1:8" x14ac:dyDescent="0.35">
      <c r="A51" t="s">
        <v>59</v>
      </c>
      <c r="B51" t="s">
        <v>385</v>
      </c>
      <c r="C51" t="s">
        <v>393</v>
      </c>
      <c r="D51" t="s">
        <v>396</v>
      </c>
      <c r="E51" t="s">
        <v>400</v>
      </c>
      <c r="F51" t="s">
        <v>405</v>
      </c>
      <c r="G51">
        <v>50</v>
      </c>
      <c r="H51">
        <v>5</v>
      </c>
    </row>
    <row r="52" spans="1:8" x14ac:dyDescent="0.35">
      <c r="A52" t="s">
        <v>60</v>
      </c>
      <c r="B52" t="s">
        <v>386</v>
      </c>
      <c r="C52" t="s">
        <v>391</v>
      </c>
      <c r="D52" t="s">
        <v>395</v>
      </c>
      <c r="E52" t="s">
        <v>400</v>
      </c>
      <c r="F52" t="s">
        <v>404</v>
      </c>
      <c r="G52">
        <v>20</v>
      </c>
      <c r="H52">
        <v>8</v>
      </c>
    </row>
    <row r="53" spans="1:8" x14ac:dyDescent="0.35">
      <c r="A53" t="s">
        <v>61</v>
      </c>
      <c r="B53" t="s">
        <v>387</v>
      </c>
      <c r="C53" t="s">
        <v>394</v>
      </c>
      <c r="D53" t="s">
        <v>397</v>
      </c>
      <c r="E53" t="s">
        <v>399</v>
      </c>
      <c r="F53" t="s">
        <v>405</v>
      </c>
      <c r="G53">
        <v>0</v>
      </c>
      <c r="H53">
        <v>16</v>
      </c>
    </row>
    <row r="54" spans="1:8" x14ac:dyDescent="0.35">
      <c r="A54" t="s">
        <v>62</v>
      </c>
      <c r="B54" t="s">
        <v>387</v>
      </c>
      <c r="C54" t="s">
        <v>392</v>
      </c>
      <c r="D54" t="s">
        <v>395</v>
      </c>
      <c r="E54" t="s">
        <v>401</v>
      </c>
      <c r="F54" t="s">
        <v>405</v>
      </c>
      <c r="G54">
        <v>20</v>
      </c>
      <c r="H54">
        <v>10</v>
      </c>
    </row>
    <row r="55" spans="1:8" x14ac:dyDescent="0.35">
      <c r="A55" t="s">
        <v>63</v>
      </c>
      <c r="B55" t="s">
        <v>385</v>
      </c>
      <c r="C55" t="s">
        <v>391</v>
      </c>
      <c r="D55" t="s">
        <v>395</v>
      </c>
      <c r="E55" t="s">
        <v>401</v>
      </c>
      <c r="F55" t="s">
        <v>406</v>
      </c>
      <c r="G55">
        <v>20</v>
      </c>
      <c r="H55">
        <v>11</v>
      </c>
    </row>
    <row r="56" spans="1:8" x14ac:dyDescent="0.35">
      <c r="A56" t="s">
        <v>64</v>
      </c>
      <c r="B56" t="s">
        <v>389</v>
      </c>
      <c r="C56" t="s">
        <v>393</v>
      </c>
      <c r="D56" t="s">
        <v>397</v>
      </c>
      <c r="E56" t="s">
        <v>398</v>
      </c>
      <c r="F56" t="s">
        <v>402</v>
      </c>
      <c r="G56">
        <v>0</v>
      </c>
      <c r="H56">
        <v>1</v>
      </c>
    </row>
    <row r="57" spans="1:8" x14ac:dyDescent="0.35">
      <c r="A57" t="s">
        <v>65</v>
      </c>
      <c r="B57" t="s">
        <v>387</v>
      </c>
      <c r="C57" t="s">
        <v>394</v>
      </c>
      <c r="D57" t="s">
        <v>395</v>
      </c>
      <c r="E57" t="s">
        <v>399</v>
      </c>
      <c r="F57" t="s">
        <v>406</v>
      </c>
      <c r="G57">
        <v>20</v>
      </c>
      <c r="H57">
        <v>2</v>
      </c>
    </row>
    <row r="58" spans="1:8" x14ac:dyDescent="0.35">
      <c r="A58" t="s">
        <v>66</v>
      </c>
      <c r="B58" t="s">
        <v>385</v>
      </c>
      <c r="C58" t="s">
        <v>390</v>
      </c>
      <c r="D58" t="s">
        <v>396</v>
      </c>
      <c r="E58" t="s">
        <v>398</v>
      </c>
      <c r="F58" t="s">
        <v>406</v>
      </c>
      <c r="G58">
        <v>50</v>
      </c>
      <c r="H58">
        <v>13</v>
      </c>
    </row>
    <row r="59" spans="1:8" x14ac:dyDescent="0.35">
      <c r="A59" t="s">
        <v>67</v>
      </c>
      <c r="B59" t="s">
        <v>389</v>
      </c>
      <c r="C59" t="s">
        <v>393</v>
      </c>
      <c r="D59" t="s">
        <v>396</v>
      </c>
      <c r="E59" t="s">
        <v>401</v>
      </c>
      <c r="F59" t="s">
        <v>404</v>
      </c>
      <c r="G59">
        <v>50</v>
      </c>
      <c r="H59">
        <v>20</v>
      </c>
    </row>
    <row r="60" spans="1:8" x14ac:dyDescent="0.35">
      <c r="A60" t="s">
        <v>68</v>
      </c>
      <c r="B60" t="s">
        <v>388</v>
      </c>
      <c r="C60" t="s">
        <v>390</v>
      </c>
      <c r="D60" t="s">
        <v>395</v>
      </c>
      <c r="E60" t="s">
        <v>401</v>
      </c>
      <c r="F60" t="s">
        <v>405</v>
      </c>
      <c r="G60">
        <v>20</v>
      </c>
      <c r="H60">
        <v>3</v>
      </c>
    </row>
    <row r="61" spans="1:8" x14ac:dyDescent="0.35">
      <c r="A61" t="s">
        <v>69</v>
      </c>
      <c r="B61" t="s">
        <v>386</v>
      </c>
      <c r="C61" t="s">
        <v>392</v>
      </c>
      <c r="D61" t="s">
        <v>396</v>
      </c>
      <c r="E61" t="s">
        <v>401</v>
      </c>
      <c r="F61" t="s">
        <v>403</v>
      </c>
      <c r="G61">
        <v>50</v>
      </c>
      <c r="H61">
        <v>1</v>
      </c>
    </row>
    <row r="62" spans="1:8" x14ac:dyDescent="0.35">
      <c r="A62" t="s">
        <v>70</v>
      </c>
      <c r="B62" t="s">
        <v>385</v>
      </c>
      <c r="C62" t="s">
        <v>393</v>
      </c>
      <c r="D62" t="s">
        <v>396</v>
      </c>
      <c r="E62" t="s">
        <v>400</v>
      </c>
      <c r="F62" t="s">
        <v>406</v>
      </c>
      <c r="G62">
        <v>50</v>
      </c>
      <c r="H62">
        <v>12</v>
      </c>
    </row>
    <row r="63" spans="1:8" x14ac:dyDescent="0.35">
      <c r="A63" t="s">
        <v>71</v>
      </c>
      <c r="B63" t="s">
        <v>389</v>
      </c>
      <c r="C63" t="s">
        <v>390</v>
      </c>
      <c r="D63" t="s">
        <v>396</v>
      </c>
      <c r="E63" t="s">
        <v>399</v>
      </c>
      <c r="F63" t="s">
        <v>404</v>
      </c>
      <c r="G63">
        <v>50</v>
      </c>
      <c r="H63">
        <v>7</v>
      </c>
    </row>
    <row r="64" spans="1:8" x14ac:dyDescent="0.35">
      <c r="A64" t="s">
        <v>72</v>
      </c>
      <c r="B64" t="s">
        <v>389</v>
      </c>
      <c r="C64" t="s">
        <v>391</v>
      </c>
      <c r="D64" t="s">
        <v>396</v>
      </c>
      <c r="E64" t="s">
        <v>398</v>
      </c>
      <c r="F64" t="s">
        <v>402</v>
      </c>
      <c r="G64">
        <v>50</v>
      </c>
      <c r="H64">
        <v>17</v>
      </c>
    </row>
    <row r="65" spans="1:8" x14ac:dyDescent="0.35">
      <c r="A65" t="s">
        <v>73</v>
      </c>
      <c r="B65" t="s">
        <v>385</v>
      </c>
      <c r="C65" t="s">
        <v>394</v>
      </c>
      <c r="D65" t="s">
        <v>397</v>
      </c>
      <c r="E65" t="s">
        <v>399</v>
      </c>
      <c r="F65" t="s">
        <v>403</v>
      </c>
      <c r="G65">
        <v>0</v>
      </c>
      <c r="H65">
        <v>17</v>
      </c>
    </row>
    <row r="66" spans="1:8" x14ac:dyDescent="0.35">
      <c r="A66" t="s">
        <v>74</v>
      </c>
      <c r="B66" t="s">
        <v>389</v>
      </c>
      <c r="C66" t="s">
        <v>391</v>
      </c>
      <c r="D66" t="s">
        <v>396</v>
      </c>
      <c r="E66" t="s">
        <v>398</v>
      </c>
      <c r="F66" t="s">
        <v>406</v>
      </c>
      <c r="G66">
        <v>50</v>
      </c>
      <c r="H66">
        <v>20</v>
      </c>
    </row>
    <row r="67" spans="1:8" x14ac:dyDescent="0.35">
      <c r="A67" t="s">
        <v>75</v>
      </c>
      <c r="B67" t="s">
        <v>386</v>
      </c>
      <c r="C67" t="s">
        <v>390</v>
      </c>
      <c r="D67" t="s">
        <v>395</v>
      </c>
      <c r="E67" t="s">
        <v>401</v>
      </c>
      <c r="F67" t="s">
        <v>404</v>
      </c>
      <c r="G67">
        <v>20</v>
      </c>
      <c r="H67">
        <v>15</v>
      </c>
    </row>
    <row r="68" spans="1:8" x14ac:dyDescent="0.35">
      <c r="A68" t="s">
        <v>76</v>
      </c>
      <c r="B68" t="s">
        <v>386</v>
      </c>
      <c r="C68" t="s">
        <v>393</v>
      </c>
      <c r="D68" t="s">
        <v>395</v>
      </c>
      <c r="E68" t="s">
        <v>400</v>
      </c>
      <c r="F68" t="s">
        <v>403</v>
      </c>
      <c r="G68">
        <v>20</v>
      </c>
      <c r="H68">
        <v>11</v>
      </c>
    </row>
    <row r="69" spans="1:8" x14ac:dyDescent="0.35">
      <c r="A69" t="s">
        <v>77</v>
      </c>
      <c r="B69" t="s">
        <v>389</v>
      </c>
      <c r="C69" t="s">
        <v>393</v>
      </c>
      <c r="D69" t="s">
        <v>397</v>
      </c>
      <c r="E69" t="s">
        <v>398</v>
      </c>
      <c r="F69" t="s">
        <v>406</v>
      </c>
      <c r="G69">
        <v>0</v>
      </c>
      <c r="H69">
        <v>16</v>
      </c>
    </row>
    <row r="70" spans="1:8" x14ac:dyDescent="0.35">
      <c r="A70" t="s">
        <v>78</v>
      </c>
      <c r="B70" t="s">
        <v>385</v>
      </c>
      <c r="C70" t="s">
        <v>394</v>
      </c>
      <c r="D70" t="s">
        <v>395</v>
      </c>
      <c r="E70" t="s">
        <v>400</v>
      </c>
      <c r="F70" t="s">
        <v>406</v>
      </c>
      <c r="G70">
        <v>20</v>
      </c>
      <c r="H70">
        <v>10</v>
      </c>
    </row>
    <row r="71" spans="1:8" x14ac:dyDescent="0.35">
      <c r="A71" t="s">
        <v>79</v>
      </c>
      <c r="B71" t="s">
        <v>389</v>
      </c>
      <c r="C71" t="s">
        <v>392</v>
      </c>
      <c r="D71" t="s">
        <v>397</v>
      </c>
      <c r="E71" t="s">
        <v>401</v>
      </c>
      <c r="F71" t="s">
        <v>404</v>
      </c>
      <c r="G71">
        <v>0</v>
      </c>
      <c r="H71">
        <v>7</v>
      </c>
    </row>
    <row r="72" spans="1:8" x14ac:dyDescent="0.35">
      <c r="A72" t="s">
        <v>80</v>
      </c>
      <c r="B72" t="s">
        <v>389</v>
      </c>
      <c r="C72" t="s">
        <v>393</v>
      </c>
      <c r="D72" t="s">
        <v>396</v>
      </c>
      <c r="E72" t="s">
        <v>401</v>
      </c>
      <c r="F72" t="s">
        <v>402</v>
      </c>
      <c r="G72">
        <v>50</v>
      </c>
      <c r="H72">
        <v>13</v>
      </c>
    </row>
    <row r="73" spans="1:8" x14ac:dyDescent="0.35">
      <c r="A73" t="s">
        <v>81</v>
      </c>
      <c r="B73" t="s">
        <v>387</v>
      </c>
      <c r="C73" t="s">
        <v>393</v>
      </c>
      <c r="D73" t="s">
        <v>397</v>
      </c>
      <c r="E73" t="s">
        <v>398</v>
      </c>
      <c r="F73" t="s">
        <v>406</v>
      </c>
      <c r="G73">
        <v>0</v>
      </c>
      <c r="H73">
        <v>10</v>
      </c>
    </row>
    <row r="74" spans="1:8" x14ac:dyDescent="0.35">
      <c r="A74" t="s">
        <v>82</v>
      </c>
      <c r="B74" t="s">
        <v>389</v>
      </c>
      <c r="C74" t="s">
        <v>394</v>
      </c>
      <c r="D74" t="s">
        <v>397</v>
      </c>
      <c r="E74" t="s">
        <v>400</v>
      </c>
      <c r="F74" t="s">
        <v>404</v>
      </c>
      <c r="G74">
        <v>0</v>
      </c>
      <c r="H74">
        <v>18</v>
      </c>
    </row>
    <row r="75" spans="1:8" x14ac:dyDescent="0.35">
      <c r="A75" t="s">
        <v>83</v>
      </c>
      <c r="B75" t="s">
        <v>388</v>
      </c>
      <c r="C75" t="s">
        <v>393</v>
      </c>
      <c r="D75" t="s">
        <v>395</v>
      </c>
      <c r="E75" t="s">
        <v>400</v>
      </c>
      <c r="F75" t="s">
        <v>405</v>
      </c>
      <c r="G75">
        <v>20</v>
      </c>
      <c r="H75">
        <v>4</v>
      </c>
    </row>
    <row r="76" spans="1:8" x14ac:dyDescent="0.35">
      <c r="A76" t="s">
        <v>84</v>
      </c>
      <c r="B76" t="s">
        <v>389</v>
      </c>
      <c r="C76" t="s">
        <v>392</v>
      </c>
      <c r="D76" t="s">
        <v>397</v>
      </c>
      <c r="E76" t="s">
        <v>401</v>
      </c>
      <c r="F76" t="s">
        <v>402</v>
      </c>
      <c r="G76">
        <v>0</v>
      </c>
      <c r="H76">
        <v>0</v>
      </c>
    </row>
    <row r="77" spans="1:8" x14ac:dyDescent="0.35">
      <c r="A77" t="s">
        <v>85</v>
      </c>
      <c r="B77" t="s">
        <v>386</v>
      </c>
      <c r="C77" t="s">
        <v>394</v>
      </c>
      <c r="D77" t="s">
        <v>395</v>
      </c>
      <c r="E77" t="s">
        <v>400</v>
      </c>
      <c r="F77" t="s">
        <v>404</v>
      </c>
      <c r="G77">
        <v>20</v>
      </c>
      <c r="H77">
        <v>2</v>
      </c>
    </row>
    <row r="78" spans="1:8" x14ac:dyDescent="0.35">
      <c r="A78" t="s">
        <v>86</v>
      </c>
      <c r="B78" t="s">
        <v>386</v>
      </c>
      <c r="C78" t="s">
        <v>391</v>
      </c>
      <c r="D78" t="s">
        <v>395</v>
      </c>
      <c r="E78" t="s">
        <v>401</v>
      </c>
      <c r="F78" t="s">
        <v>404</v>
      </c>
      <c r="G78">
        <v>20</v>
      </c>
      <c r="H78">
        <v>14</v>
      </c>
    </row>
    <row r="79" spans="1:8" x14ac:dyDescent="0.35">
      <c r="A79" t="s">
        <v>87</v>
      </c>
      <c r="B79" t="s">
        <v>388</v>
      </c>
      <c r="C79" t="s">
        <v>394</v>
      </c>
      <c r="D79" t="s">
        <v>397</v>
      </c>
      <c r="E79" t="s">
        <v>400</v>
      </c>
      <c r="F79" t="s">
        <v>402</v>
      </c>
      <c r="G79">
        <v>0</v>
      </c>
      <c r="H79">
        <v>3</v>
      </c>
    </row>
    <row r="80" spans="1:8" x14ac:dyDescent="0.35">
      <c r="A80" t="s">
        <v>88</v>
      </c>
      <c r="B80" t="s">
        <v>387</v>
      </c>
      <c r="C80" t="s">
        <v>394</v>
      </c>
      <c r="D80" t="s">
        <v>397</v>
      </c>
      <c r="E80" t="s">
        <v>399</v>
      </c>
      <c r="F80" t="s">
        <v>403</v>
      </c>
      <c r="G80">
        <v>0</v>
      </c>
      <c r="H80">
        <v>11</v>
      </c>
    </row>
    <row r="81" spans="1:8" x14ac:dyDescent="0.35">
      <c r="A81" t="s">
        <v>89</v>
      </c>
      <c r="B81" t="s">
        <v>385</v>
      </c>
      <c r="C81" t="s">
        <v>392</v>
      </c>
      <c r="D81" t="s">
        <v>396</v>
      </c>
      <c r="E81" t="s">
        <v>398</v>
      </c>
      <c r="F81" t="s">
        <v>406</v>
      </c>
      <c r="G81">
        <v>50</v>
      </c>
      <c r="H81">
        <v>8</v>
      </c>
    </row>
    <row r="82" spans="1:8" x14ac:dyDescent="0.35">
      <c r="A82" t="s">
        <v>90</v>
      </c>
      <c r="B82" t="s">
        <v>388</v>
      </c>
      <c r="C82" t="s">
        <v>393</v>
      </c>
      <c r="D82" t="s">
        <v>395</v>
      </c>
      <c r="E82" t="s">
        <v>399</v>
      </c>
      <c r="F82" t="s">
        <v>406</v>
      </c>
      <c r="G82">
        <v>20</v>
      </c>
      <c r="H82">
        <v>5</v>
      </c>
    </row>
    <row r="83" spans="1:8" x14ac:dyDescent="0.35">
      <c r="A83" t="s">
        <v>91</v>
      </c>
      <c r="B83" t="s">
        <v>389</v>
      </c>
      <c r="C83" t="s">
        <v>391</v>
      </c>
      <c r="D83" t="s">
        <v>396</v>
      </c>
      <c r="E83" t="s">
        <v>400</v>
      </c>
      <c r="F83" t="s">
        <v>402</v>
      </c>
      <c r="G83">
        <v>50</v>
      </c>
      <c r="H83">
        <v>1</v>
      </c>
    </row>
    <row r="84" spans="1:8" x14ac:dyDescent="0.35">
      <c r="A84" t="s">
        <v>92</v>
      </c>
      <c r="B84" t="s">
        <v>389</v>
      </c>
      <c r="C84" t="s">
        <v>393</v>
      </c>
      <c r="D84" t="s">
        <v>396</v>
      </c>
      <c r="E84" t="s">
        <v>400</v>
      </c>
      <c r="F84" t="s">
        <v>402</v>
      </c>
      <c r="G84">
        <v>50</v>
      </c>
      <c r="H84">
        <v>12</v>
      </c>
    </row>
    <row r="85" spans="1:8" x14ac:dyDescent="0.35">
      <c r="A85" t="s">
        <v>93</v>
      </c>
      <c r="B85" t="s">
        <v>389</v>
      </c>
      <c r="C85" t="s">
        <v>394</v>
      </c>
      <c r="D85" t="s">
        <v>397</v>
      </c>
      <c r="E85" t="s">
        <v>401</v>
      </c>
      <c r="F85" t="s">
        <v>406</v>
      </c>
      <c r="G85">
        <v>0</v>
      </c>
      <c r="H85">
        <v>9</v>
      </c>
    </row>
    <row r="86" spans="1:8" x14ac:dyDescent="0.35">
      <c r="A86" t="s">
        <v>94</v>
      </c>
      <c r="B86" t="s">
        <v>387</v>
      </c>
      <c r="C86" t="s">
        <v>393</v>
      </c>
      <c r="D86" t="s">
        <v>397</v>
      </c>
      <c r="E86" t="s">
        <v>398</v>
      </c>
      <c r="F86" t="s">
        <v>404</v>
      </c>
      <c r="G86">
        <v>0</v>
      </c>
      <c r="H86">
        <v>8</v>
      </c>
    </row>
    <row r="87" spans="1:8" x14ac:dyDescent="0.35">
      <c r="A87" t="s">
        <v>95</v>
      </c>
      <c r="B87" t="s">
        <v>386</v>
      </c>
      <c r="C87" t="s">
        <v>392</v>
      </c>
      <c r="D87" t="s">
        <v>396</v>
      </c>
      <c r="E87" t="s">
        <v>398</v>
      </c>
      <c r="F87" t="s">
        <v>403</v>
      </c>
      <c r="G87">
        <v>50</v>
      </c>
      <c r="H87">
        <v>3</v>
      </c>
    </row>
    <row r="88" spans="1:8" x14ac:dyDescent="0.35">
      <c r="A88" t="s">
        <v>96</v>
      </c>
      <c r="B88" t="s">
        <v>387</v>
      </c>
      <c r="C88" t="s">
        <v>392</v>
      </c>
      <c r="D88" t="s">
        <v>396</v>
      </c>
      <c r="E88" t="s">
        <v>398</v>
      </c>
      <c r="F88" t="s">
        <v>406</v>
      </c>
      <c r="G88">
        <v>50</v>
      </c>
      <c r="H88">
        <v>13</v>
      </c>
    </row>
    <row r="89" spans="1:8" x14ac:dyDescent="0.35">
      <c r="A89" t="s">
        <v>97</v>
      </c>
      <c r="B89" t="s">
        <v>386</v>
      </c>
      <c r="C89" t="s">
        <v>394</v>
      </c>
      <c r="D89" t="s">
        <v>397</v>
      </c>
      <c r="E89" t="s">
        <v>398</v>
      </c>
      <c r="F89" t="s">
        <v>402</v>
      </c>
      <c r="G89">
        <v>0</v>
      </c>
      <c r="H89">
        <v>16</v>
      </c>
    </row>
    <row r="90" spans="1:8" x14ac:dyDescent="0.35">
      <c r="A90" t="s">
        <v>98</v>
      </c>
      <c r="B90" t="s">
        <v>386</v>
      </c>
      <c r="C90" t="s">
        <v>392</v>
      </c>
      <c r="D90" t="s">
        <v>397</v>
      </c>
      <c r="E90" t="s">
        <v>399</v>
      </c>
      <c r="F90" t="s">
        <v>404</v>
      </c>
      <c r="G90">
        <v>0</v>
      </c>
      <c r="H90">
        <v>16</v>
      </c>
    </row>
    <row r="91" spans="1:8" x14ac:dyDescent="0.35">
      <c r="A91" t="s">
        <v>99</v>
      </c>
      <c r="B91" t="s">
        <v>386</v>
      </c>
      <c r="C91" t="s">
        <v>393</v>
      </c>
      <c r="D91" t="s">
        <v>397</v>
      </c>
      <c r="E91" t="s">
        <v>400</v>
      </c>
      <c r="F91" t="s">
        <v>405</v>
      </c>
      <c r="G91">
        <v>0</v>
      </c>
      <c r="H91">
        <v>0</v>
      </c>
    </row>
    <row r="92" spans="1:8" x14ac:dyDescent="0.35">
      <c r="A92" t="s">
        <v>100</v>
      </c>
      <c r="B92" t="s">
        <v>388</v>
      </c>
      <c r="C92" t="s">
        <v>392</v>
      </c>
      <c r="D92" t="s">
        <v>397</v>
      </c>
      <c r="E92" t="s">
        <v>398</v>
      </c>
      <c r="F92" t="s">
        <v>405</v>
      </c>
      <c r="G92">
        <v>0</v>
      </c>
      <c r="H92">
        <v>13</v>
      </c>
    </row>
    <row r="93" spans="1:8" x14ac:dyDescent="0.35">
      <c r="A93" t="s">
        <v>101</v>
      </c>
      <c r="B93" t="s">
        <v>389</v>
      </c>
      <c r="C93" t="s">
        <v>391</v>
      </c>
      <c r="D93" t="s">
        <v>397</v>
      </c>
      <c r="E93" t="s">
        <v>398</v>
      </c>
      <c r="F93" t="s">
        <v>404</v>
      </c>
      <c r="G93">
        <v>0</v>
      </c>
      <c r="H93">
        <v>18</v>
      </c>
    </row>
    <row r="94" spans="1:8" x14ac:dyDescent="0.35">
      <c r="A94" t="s">
        <v>102</v>
      </c>
      <c r="B94" t="s">
        <v>387</v>
      </c>
      <c r="C94" t="s">
        <v>391</v>
      </c>
      <c r="D94" t="s">
        <v>395</v>
      </c>
      <c r="E94" t="s">
        <v>398</v>
      </c>
      <c r="F94" t="s">
        <v>402</v>
      </c>
      <c r="G94">
        <v>20</v>
      </c>
      <c r="H94">
        <v>9</v>
      </c>
    </row>
    <row r="95" spans="1:8" x14ac:dyDescent="0.35">
      <c r="A95" t="s">
        <v>103</v>
      </c>
      <c r="B95" t="s">
        <v>388</v>
      </c>
      <c r="C95" t="s">
        <v>392</v>
      </c>
      <c r="D95" t="s">
        <v>395</v>
      </c>
      <c r="E95" t="s">
        <v>401</v>
      </c>
      <c r="F95" t="s">
        <v>403</v>
      </c>
      <c r="G95">
        <v>20</v>
      </c>
      <c r="H95">
        <v>0</v>
      </c>
    </row>
    <row r="96" spans="1:8" x14ac:dyDescent="0.35">
      <c r="A96" t="s">
        <v>104</v>
      </c>
      <c r="B96" t="s">
        <v>385</v>
      </c>
      <c r="C96" t="s">
        <v>393</v>
      </c>
      <c r="D96" t="s">
        <v>395</v>
      </c>
      <c r="E96" t="s">
        <v>399</v>
      </c>
      <c r="F96" t="s">
        <v>402</v>
      </c>
      <c r="G96">
        <v>20</v>
      </c>
      <c r="H96">
        <v>16</v>
      </c>
    </row>
    <row r="97" spans="1:8" x14ac:dyDescent="0.35">
      <c r="A97" t="s">
        <v>105</v>
      </c>
      <c r="B97" t="s">
        <v>386</v>
      </c>
      <c r="C97" t="s">
        <v>392</v>
      </c>
      <c r="D97" t="s">
        <v>397</v>
      </c>
      <c r="E97" t="s">
        <v>400</v>
      </c>
      <c r="F97" t="s">
        <v>405</v>
      </c>
      <c r="G97">
        <v>0</v>
      </c>
      <c r="H97">
        <v>13</v>
      </c>
    </row>
    <row r="98" spans="1:8" x14ac:dyDescent="0.35">
      <c r="A98" t="s">
        <v>106</v>
      </c>
      <c r="B98" t="s">
        <v>385</v>
      </c>
      <c r="C98" t="s">
        <v>394</v>
      </c>
      <c r="D98" t="s">
        <v>395</v>
      </c>
      <c r="E98" t="s">
        <v>401</v>
      </c>
      <c r="F98" t="s">
        <v>403</v>
      </c>
      <c r="G98">
        <v>20</v>
      </c>
      <c r="H98">
        <v>7</v>
      </c>
    </row>
    <row r="99" spans="1:8" x14ac:dyDescent="0.35">
      <c r="A99" t="s">
        <v>107</v>
      </c>
      <c r="B99" t="s">
        <v>389</v>
      </c>
      <c r="C99" t="s">
        <v>391</v>
      </c>
      <c r="D99" t="s">
        <v>395</v>
      </c>
      <c r="E99" t="s">
        <v>401</v>
      </c>
      <c r="F99" t="s">
        <v>406</v>
      </c>
      <c r="G99">
        <v>20</v>
      </c>
      <c r="H99">
        <v>9</v>
      </c>
    </row>
    <row r="100" spans="1:8" x14ac:dyDescent="0.35">
      <c r="A100" t="s">
        <v>108</v>
      </c>
      <c r="B100" t="s">
        <v>386</v>
      </c>
      <c r="C100" t="s">
        <v>393</v>
      </c>
      <c r="D100" t="s">
        <v>397</v>
      </c>
      <c r="E100" t="s">
        <v>398</v>
      </c>
      <c r="F100" t="s">
        <v>405</v>
      </c>
      <c r="G100">
        <v>0</v>
      </c>
      <c r="H100">
        <v>10</v>
      </c>
    </row>
    <row r="101" spans="1:8" x14ac:dyDescent="0.35">
      <c r="A101" t="s">
        <v>109</v>
      </c>
      <c r="B101" t="s">
        <v>389</v>
      </c>
      <c r="C101" t="s">
        <v>394</v>
      </c>
      <c r="D101" t="s">
        <v>397</v>
      </c>
      <c r="E101" t="s">
        <v>400</v>
      </c>
      <c r="F101" t="s">
        <v>406</v>
      </c>
      <c r="G101">
        <v>0</v>
      </c>
      <c r="H101">
        <v>9</v>
      </c>
    </row>
    <row r="102" spans="1:8" x14ac:dyDescent="0.35">
      <c r="A102" t="s">
        <v>110</v>
      </c>
      <c r="B102" t="s">
        <v>389</v>
      </c>
      <c r="C102" t="s">
        <v>394</v>
      </c>
      <c r="D102" t="s">
        <v>395</v>
      </c>
      <c r="E102" t="s">
        <v>399</v>
      </c>
      <c r="F102" t="s">
        <v>406</v>
      </c>
      <c r="G102">
        <v>20</v>
      </c>
      <c r="H102">
        <v>2</v>
      </c>
    </row>
    <row r="103" spans="1:8" x14ac:dyDescent="0.35">
      <c r="A103" t="s">
        <v>111</v>
      </c>
      <c r="B103" t="s">
        <v>389</v>
      </c>
      <c r="C103" t="s">
        <v>393</v>
      </c>
      <c r="D103" t="s">
        <v>397</v>
      </c>
      <c r="E103" t="s">
        <v>400</v>
      </c>
      <c r="F103" t="s">
        <v>403</v>
      </c>
      <c r="G103">
        <v>0</v>
      </c>
      <c r="H103">
        <v>10</v>
      </c>
    </row>
    <row r="104" spans="1:8" x14ac:dyDescent="0.35">
      <c r="A104" t="s">
        <v>112</v>
      </c>
      <c r="B104" t="s">
        <v>389</v>
      </c>
      <c r="C104" t="s">
        <v>391</v>
      </c>
      <c r="D104" t="s">
        <v>395</v>
      </c>
      <c r="E104" t="s">
        <v>400</v>
      </c>
      <c r="F104" t="s">
        <v>406</v>
      </c>
      <c r="G104">
        <v>20</v>
      </c>
      <c r="H104">
        <v>7</v>
      </c>
    </row>
    <row r="105" spans="1:8" x14ac:dyDescent="0.35">
      <c r="A105" t="s">
        <v>113</v>
      </c>
      <c r="B105" t="s">
        <v>387</v>
      </c>
      <c r="C105" t="s">
        <v>390</v>
      </c>
      <c r="D105" t="s">
        <v>396</v>
      </c>
      <c r="E105" t="s">
        <v>398</v>
      </c>
      <c r="F105" t="s">
        <v>403</v>
      </c>
      <c r="G105">
        <v>50</v>
      </c>
      <c r="H105">
        <v>12</v>
      </c>
    </row>
    <row r="106" spans="1:8" x14ac:dyDescent="0.35">
      <c r="A106" t="s">
        <v>114</v>
      </c>
      <c r="B106" t="s">
        <v>389</v>
      </c>
      <c r="C106" t="s">
        <v>393</v>
      </c>
      <c r="D106" t="s">
        <v>395</v>
      </c>
      <c r="E106" t="s">
        <v>400</v>
      </c>
      <c r="F106" t="s">
        <v>406</v>
      </c>
      <c r="G106">
        <v>20</v>
      </c>
      <c r="H106">
        <v>19</v>
      </c>
    </row>
    <row r="107" spans="1:8" x14ac:dyDescent="0.35">
      <c r="A107" t="s">
        <v>115</v>
      </c>
      <c r="B107" t="s">
        <v>389</v>
      </c>
      <c r="C107" t="s">
        <v>392</v>
      </c>
      <c r="D107" t="s">
        <v>395</v>
      </c>
      <c r="E107" t="s">
        <v>401</v>
      </c>
      <c r="F107" t="s">
        <v>404</v>
      </c>
      <c r="G107">
        <v>20</v>
      </c>
      <c r="H107">
        <v>7</v>
      </c>
    </row>
    <row r="108" spans="1:8" x14ac:dyDescent="0.35">
      <c r="A108" t="s">
        <v>116</v>
      </c>
      <c r="B108" t="s">
        <v>387</v>
      </c>
      <c r="C108" t="s">
        <v>394</v>
      </c>
      <c r="D108" t="s">
        <v>395</v>
      </c>
      <c r="E108" t="s">
        <v>401</v>
      </c>
      <c r="F108" t="s">
        <v>402</v>
      </c>
      <c r="G108">
        <v>20</v>
      </c>
      <c r="H108">
        <v>12</v>
      </c>
    </row>
    <row r="109" spans="1:8" x14ac:dyDescent="0.35">
      <c r="A109" t="s">
        <v>117</v>
      </c>
      <c r="B109" t="s">
        <v>386</v>
      </c>
      <c r="C109" t="s">
        <v>391</v>
      </c>
      <c r="D109" t="s">
        <v>395</v>
      </c>
      <c r="E109" t="s">
        <v>399</v>
      </c>
      <c r="F109" t="s">
        <v>405</v>
      </c>
      <c r="G109">
        <v>20</v>
      </c>
      <c r="H109">
        <v>16</v>
      </c>
    </row>
    <row r="110" spans="1:8" x14ac:dyDescent="0.35">
      <c r="A110" t="s">
        <v>118</v>
      </c>
      <c r="B110" t="s">
        <v>389</v>
      </c>
      <c r="C110" t="s">
        <v>393</v>
      </c>
      <c r="D110" t="s">
        <v>396</v>
      </c>
      <c r="E110" t="s">
        <v>400</v>
      </c>
      <c r="F110" t="s">
        <v>405</v>
      </c>
      <c r="G110">
        <v>50</v>
      </c>
      <c r="H110">
        <v>6</v>
      </c>
    </row>
    <row r="111" spans="1:8" x14ac:dyDescent="0.35">
      <c r="A111" t="s">
        <v>119</v>
      </c>
      <c r="B111" t="s">
        <v>387</v>
      </c>
      <c r="C111" t="s">
        <v>392</v>
      </c>
      <c r="D111" t="s">
        <v>397</v>
      </c>
      <c r="E111" t="s">
        <v>401</v>
      </c>
      <c r="F111" t="s">
        <v>403</v>
      </c>
      <c r="G111">
        <v>0</v>
      </c>
      <c r="H111">
        <v>15</v>
      </c>
    </row>
    <row r="112" spans="1:8" x14ac:dyDescent="0.35">
      <c r="A112" t="s">
        <v>120</v>
      </c>
      <c r="B112" t="s">
        <v>388</v>
      </c>
      <c r="C112" t="s">
        <v>394</v>
      </c>
      <c r="D112" t="s">
        <v>395</v>
      </c>
      <c r="E112" t="s">
        <v>399</v>
      </c>
      <c r="F112" t="s">
        <v>406</v>
      </c>
      <c r="G112">
        <v>20</v>
      </c>
      <c r="H112">
        <v>7</v>
      </c>
    </row>
    <row r="113" spans="1:8" x14ac:dyDescent="0.35">
      <c r="A113" t="s">
        <v>121</v>
      </c>
      <c r="B113" t="s">
        <v>387</v>
      </c>
      <c r="C113" t="s">
        <v>390</v>
      </c>
      <c r="D113" t="s">
        <v>395</v>
      </c>
      <c r="E113" t="s">
        <v>399</v>
      </c>
      <c r="F113" t="s">
        <v>402</v>
      </c>
      <c r="G113">
        <v>20</v>
      </c>
      <c r="H113">
        <v>17</v>
      </c>
    </row>
    <row r="114" spans="1:8" x14ac:dyDescent="0.35">
      <c r="A114" t="s">
        <v>122</v>
      </c>
      <c r="B114" t="s">
        <v>385</v>
      </c>
      <c r="C114" t="s">
        <v>391</v>
      </c>
      <c r="D114" t="s">
        <v>395</v>
      </c>
      <c r="E114" t="s">
        <v>401</v>
      </c>
      <c r="F114" t="s">
        <v>402</v>
      </c>
      <c r="G114">
        <v>20</v>
      </c>
      <c r="H114">
        <v>13</v>
      </c>
    </row>
    <row r="115" spans="1:8" x14ac:dyDescent="0.35">
      <c r="A115" t="s">
        <v>123</v>
      </c>
      <c r="B115" t="s">
        <v>386</v>
      </c>
      <c r="C115" t="s">
        <v>393</v>
      </c>
      <c r="D115" t="s">
        <v>397</v>
      </c>
      <c r="E115" t="s">
        <v>400</v>
      </c>
      <c r="F115" t="s">
        <v>402</v>
      </c>
      <c r="G115">
        <v>0</v>
      </c>
      <c r="H115">
        <v>1</v>
      </c>
    </row>
    <row r="116" spans="1:8" x14ac:dyDescent="0.35">
      <c r="A116" t="s">
        <v>124</v>
      </c>
      <c r="B116" t="s">
        <v>387</v>
      </c>
      <c r="C116" t="s">
        <v>392</v>
      </c>
      <c r="D116" t="s">
        <v>396</v>
      </c>
      <c r="E116" t="s">
        <v>400</v>
      </c>
      <c r="F116" t="s">
        <v>402</v>
      </c>
      <c r="G116">
        <v>50</v>
      </c>
      <c r="H116">
        <v>6</v>
      </c>
    </row>
    <row r="117" spans="1:8" x14ac:dyDescent="0.35">
      <c r="A117" t="s">
        <v>125</v>
      </c>
      <c r="B117" t="s">
        <v>387</v>
      </c>
      <c r="C117" t="s">
        <v>390</v>
      </c>
      <c r="D117" t="s">
        <v>396</v>
      </c>
      <c r="E117" t="s">
        <v>398</v>
      </c>
      <c r="F117" t="s">
        <v>405</v>
      </c>
      <c r="G117">
        <v>50</v>
      </c>
      <c r="H117">
        <v>3</v>
      </c>
    </row>
    <row r="118" spans="1:8" x14ac:dyDescent="0.35">
      <c r="A118" t="s">
        <v>126</v>
      </c>
      <c r="B118" t="s">
        <v>388</v>
      </c>
      <c r="C118" t="s">
        <v>391</v>
      </c>
      <c r="D118" t="s">
        <v>396</v>
      </c>
      <c r="E118" t="s">
        <v>401</v>
      </c>
      <c r="F118" t="s">
        <v>406</v>
      </c>
      <c r="G118">
        <v>50</v>
      </c>
      <c r="H118">
        <v>6</v>
      </c>
    </row>
    <row r="119" spans="1:8" x14ac:dyDescent="0.35">
      <c r="A119" t="s">
        <v>127</v>
      </c>
      <c r="B119" t="s">
        <v>388</v>
      </c>
      <c r="C119" t="s">
        <v>393</v>
      </c>
      <c r="D119" t="s">
        <v>396</v>
      </c>
      <c r="E119" t="s">
        <v>401</v>
      </c>
      <c r="F119" t="s">
        <v>403</v>
      </c>
      <c r="G119">
        <v>50</v>
      </c>
      <c r="H119">
        <v>19</v>
      </c>
    </row>
    <row r="120" spans="1:8" x14ac:dyDescent="0.35">
      <c r="A120" t="s">
        <v>128</v>
      </c>
      <c r="B120" t="s">
        <v>386</v>
      </c>
      <c r="C120" t="s">
        <v>393</v>
      </c>
      <c r="D120" t="s">
        <v>396</v>
      </c>
      <c r="E120" t="s">
        <v>400</v>
      </c>
      <c r="F120" t="s">
        <v>405</v>
      </c>
      <c r="G120">
        <v>50</v>
      </c>
      <c r="H120">
        <v>3</v>
      </c>
    </row>
    <row r="121" spans="1:8" x14ac:dyDescent="0.35">
      <c r="A121" t="s">
        <v>129</v>
      </c>
      <c r="B121" t="s">
        <v>387</v>
      </c>
      <c r="C121" t="s">
        <v>394</v>
      </c>
      <c r="D121" t="s">
        <v>397</v>
      </c>
      <c r="E121" t="s">
        <v>398</v>
      </c>
      <c r="F121" t="s">
        <v>405</v>
      </c>
      <c r="G121">
        <v>0</v>
      </c>
      <c r="H121">
        <v>8</v>
      </c>
    </row>
    <row r="122" spans="1:8" x14ac:dyDescent="0.35">
      <c r="A122" t="s">
        <v>130</v>
      </c>
      <c r="B122" t="s">
        <v>389</v>
      </c>
      <c r="C122" t="s">
        <v>392</v>
      </c>
      <c r="D122" t="s">
        <v>397</v>
      </c>
      <c r="E122" t="s">
        <v>398</v>
      </c>
      <c r="F122" t="s">
        <v>405</v>
      </c>
      <c r="G122">
        <v>0</v>
      </c>
      <c r="H122">
        <v>3</v>
      </c>
    </row>
    <row r="123" spans="1:8" x14ac:dyDescent="0.35">
      <c r="A123" t="s">
        <v>131</v>
      </c>
      <c r="B123" t="s">
        <v>385</v>
      </c>
      <c r="C123" t="s">
        <v>392</v>
      </c>
      <c r="D123" t="s">
        <v>395</v>
      </c>
      <c r="E123" t="s">
        <v>400</v>
      </c>
      <c r="F123" t="s">
        <v>403</v>
      </c>
      <c r="G123">
        <v>20</v>
      </c>
      <c r="H123">
        <v>16</v>
      </c>
    </row>
    <row r="124" spans="1:8" x14ac:dyDescent="0.35">
      <c r="A124" t="s">
        <v>132</v>
      </c>
      <c r="B124" t="s">
        <v>388</v>
      </c>
      <c r="C124" t="s">
        <v>390</v>
      </c>
      <c r="D124" t="s">
        <v>396</v>
      </c>
      <c r="E124" t="s">
        <v>401</v>
      </c>
      <c r="F124" t="s">
        <v>403</v>
      </c>
      <c r="G124">
        <v>50</v>
      </c>
      <c r="H124">
        <v>15</v>
      </c>
    </row>
    <row r="125" spans="1:8" x14ac:dyDescent="0.35">
      <c r="A125" t="s">
        <v>133</v>
      </c>
      <c r="B125" t="s">
        <v>387</v>
      </c>
      <c r="C125" t="s">
        <v>392</v>
      </c>
      <c r="D125" t="s">
        <v>395</v>
      </c>
      <c r="E125" t="s">
        <v>399</v>
      </c>
      <c r="F125" t="s">
        <v>406</v>
      </c>
      <c r="G125">
        <v>20</v>
      </c>
      <c r="H125">
        <v>13</v>
      </c>
    </row>
    <row r="126" spans="1:8" x14ac:dyDescent="0.35">
      <c r="A126" t="s">
        <v>134</v>
      </c>
      <c r="B126" t="s">
        <v>385</v>
      </c>
      <c r="C126" t="s">
        <v>394</v>
      </c>
      <c r="D126" t="s">
        <v>395</v>
      </c>
      <c r="E126" t="s">
        <v>401</v>
      </c>
      <c r="F126" t="s">
        <v>405</v>
      </c>
      <c r="G126">
        <v>20</v>
      </c>
      <c r="H126">
        <v>14</v>
      </c>
    </row>
    <row r="127" spans="1:8" x14ac:dyDescent="0.35">
      <c r="A127" t="s">
        <v>135</v>
      </c>
      <c r="B127" t="s">
        <v>389</v>
      </c>
      <c r="C127" t="s">
        <v>390</v>
      </c>
      <c r="D127" t="s">
        <v>396</v>
      </c>
      <c r="E127" t="s">
        <v>401</v>
      </c>
      <c r="F127" t="s">
        <v>406</v>
      </c>
      <c r="G127">
        <v>50</v>
      </c>
      <c r="H127">
        <v>3</v>
      </c>
    </row>
    <row r="128" spans="1:8" x14ac:dyDescent="0.35">
      <c r="A128" t="s">
        <v>136</v>
      </c>
      <c r="B128" t="s">
        <v>389</v>
      </c>
      <c r="C128" t="s">
        <v>394</v>
      </c>
      <c r="D128" t="s">
        <v>397</v>
      </c>
      <c r="E128" t="s">
        <v>400</v>
      </c>
      <c r="F128" t="s">
        <v>405</v>
      </c>
      <c r="G128">
        <v>0</v>
      </c>
      <c r="H128">
        <v>2</v>
      </c>
    </row>
    <row r="129" spans="1:8" x14ac:dyDescent="0.35">
      <c r="A129" t="s">
        <v>137</v>
      </c>
      <c r="B129" t="s">
        <v>386</v>
      </c>
      <c r="C129" t="s">
        <v>390</v>
      </c>
      <c r="D129" t="s">
        <v>396</v>
      </c>
      <c r="E129" t="s">
        <v>398</v>
      </c>
      <c r="F129" t="s">
        <v>406</v>
      </c>
      <c r="G129">
        <v>50</v>
      </c>
      <c r="H129">
        <v>14</v>
      </c>
    </row>
    <row r="130" spans="1:8" x14ac:dyDescent="0.35">
      <c r="A130" t="s">
        <v>138</v>
      </c>
      <c r="B130" t="s">
        <v>386</v>
      </c>
      <c r="C130" t="s">
        <v>394</v>
      </c>
      <c r="D130" t="s">
        <v>396</v>
      </c>
      <c r="E130" t="s">
        <v>401</v>
      </c>
      <c r="F130" t="s">
        <v>404</v>
      </c>
      <c r="G130">
        <v>50</v>
      </c>
      <c r="H130">
        <v>1</v>
      </c>
    </row>
    <row r="131" spans="1:8" x14ac:dyDescent="0.35">
      <c r="A131" t="s">
        <v>139</v>
      </c>
      <c r="B131" t="s">
        <v>387</v>
      </c>
      <c r="C131" t="s">
        <v>390</v>
      </c>
      <c r="D131" t="s">
        <v>396</v>
      </c>
      <c r="E131" t="s">
        <v>398</v>
      </c>
      <c r="F131" t="s">
        <v>402</v>
      </c>
      <c r="G131">
        <v>50</v>
      </c>
      <c r="H131">
        <v>4</v>
      </c>
    </row>
    <row r="132" spans="1:8" x14ac:dyDescent="0.35">
      <c r="A132" t="s">
        <v>140</v>
      </c>
      <c r="B132" t="s">
        <v>386</v>
      </c>
      <c r="C132" t="s">
        <v>391</v>
      </c>
      <c r="D132" t="s">
        <v>396</v>
      </c>
      <c r="E132" t="s">
        <v>398</v>
      </c>
      <c r="F132" t="s">
        <v>404</v>
      </c>
      <c r="G132">
        <v>50</v>
      </c>
      <c r="H132">
        <v>2</v>
      </c>
    </row>
    <row r="133" spans="1:8" x14ac:dyDescent="0.35">
      <c r="A133" t="s">
        <v>141</v>
      </c>
      <c r="B133" t="s">
        <v>385</v>
      </c>
      <c r="C133" t="s">
        <v>390</v>
      </c>
      <c r="D133" t="s">
        <v>397</v>
      </c>
      <c r="E133" t="s">
        <v>398</v>
      </c>
      <c r="F133" t="s">
        <v>406</v>
      </c>
      <c r="G133">
        <v>0</v>
      </c>
      <c r="H133">
        <v>19</v>
      </c>
    </row>
    <row r="134" spans="1:8" x14ac:dyDescent="0.35">
      <c r="A134" t="s">
        <v>142</v>
      </c>
      <c r="B134" t="s">
        <v>389</v>
      </c>
      <c r="C134" t="s">
        <v>393</v>
      </c>
      <c r="D134" t="s">
        <v>395</v>
      </c>
      <c r="E134" t="s">
        <v>401</v>
      </c>
      <c r="F134" t="s">
        <v>405</v>
      </c>
      <c r="G134">
        <v>20</v>
      </c>
      <c r="H134">
        <v>11</v>
      </c>
    </row>
    <row r="135" spans="1:8" x14ac:dyDescent="0.35">
      <c r="A135" t="s">
        <v>143</v>
      </c>
      <c r="B135" t="s">
        <v>388</v>
      </c>
      <c r="C135" t="s">
        <v>392</v>
      </c>
      <c r="D135" t="s">
        <v>395</v>
      </c>
      <c r="E135" t="s">
        <v>398</v>
      </c>
      <c r="F135" t="s">
        <v>403</v>
      </c>
      <c r="G135">
        <v>20</v>
      </c>
      <c r="H135">
        <v>11</v>
      </c>
    </row>
    <row r="136" spans="1:8" x14ac:dyDescent="0.35">
      <c r="A136" t="s">
        <v>144</v>
      </c>
      <c r="B136" t="s">
        <v>388</v>
      </c>
      <c r="C136" t="s">
        <v>394</v>
      </c>
      <c r="D136" t="s">
        <v>395</v>
      </c>
      <c r="E136" t="s">
        <v>401</v>
      </c>
      <c r="F136" t="s">
        <v>406</v>
      </c>
      <c r="G136">
        <v>20</v>
      </c>
      <c r="H136">
        <v>10</v>
      </c>
    </row>
    <row r="137" spans="1:8" x14ac:dyDescent="0.35">
      <c r="A137" t="s">
        <v>145</v>
      </c>
      <c r="B137" t="s">
        <v>389</v>
      </c>
      <c r="C137" t="s">
        <v>392</v>
      </c>
      <c r="D137" t="s">
        <v>396</v>
      </c>
      <c r="E137" t="s">
        <v>401</v>
      </c>
      <c r="F137" t="s">
        <v>403</v>
      </c>
      <c r="G137">
        <v>50</v>
      </c>
      <c r="H137">
        <v>5</v>
      </c>
    </row>
    <row r="138" spans="1:8" x14ac:dyDescent="0.35">
      <c r="A138" t="s">
        <v>146</v>
      </c>
      <c r="B138" t="s">
        <v>385</v>
      </c>
      <c r="C138" t="s">
        <v>392</v>
      </c>
      <c r="D138" t="s">
        <v>396</v>
      </c>
      <c r="E138" t="s">
        <v>401</v>
      </c>
      <c r="F138" t="s">
        <v>405</v>
      </c>
      <c r="G138">
        <v>50</v>
      </c>
      <c r="H138">
        <v>5</v>
      </c>
    </row>
    <row r="139" spans="1:8" x14ac:dyDescent="0.35">
      <c r="A139" t="s">
        <v>147</v>
      </c>
      <c r="B139" t="s">
        <v>385</v>
      </c>
      <c r="C139" t="s">
        <v>390</v>
      </c>
      <c r="D139" t="s">
        <v>395</v>
      </c>
      <c r="E139" t="s">
        <v>401</v>
      </c>
      <c r="F139" t="s">
        <v>406</v>
      </c>
      <c r="G139">
        <v>20</v>
      </c>
      <c r="H139">
        <v>15</v>
      </c>
    </row>
    <row r="140" spans="1:8" x14ac:dyDescent="0.35">
      <c r="A140" t="s">
        <v>148</v>
      </c>
      <c r="B140" t="s">
        <v>385</v>
      </c>
      <c r="C140" t="s">
        <v>393</v>
      </c>
      <c r="D140" t="s">
        <v>397</v>
      </c>
      <c r="E140" t="s">
        <v>398</v>
      </c>
      <c r="F140" t="s">
        <v>403</v>
      </c>
      <c r="G140">
        <v>0</v>
      </c>
      <c r="H140">
        <v>14</v>
      </c>
    </row>
    <row r="141" spans="1:8" x14ac:dyDescent="0.35">
      <c r="A141" t="s">
        <v>149</v>
      </c>
      <c r="B141" t="s">
        <v>387</v>
      </c>
      <c r="C141" t="s">
        <v>392</v>
      </c>
      <c r="D141" t="s">
        <v>395</v>
      </c>
      <c r="E141" t="s">
        <v>398</v>
      </c>
      <c r="F141" t="s">
        <v>405</v>
      </c>
      <c r="G141">
        <v>20</v>
      </c>
      <c r="H141">
        <v>2</v>
      </c>
    </row>
    <row r="142" spans="1:8" x14ac:dyDescent="0.35">
      <c r="A142" t="s">
        <v>150</v>
      </c>
      <c r="B142" t="s">
        <v>388</v>
      </c>
      <c r="C142" t="s">
        <v>393</v>
      </c>
      <c r="D142" t="s">
        <v>395</v>
      </c>
      <c r="E142" t="s">
        <v>399</v>
      </c>
      <c r="F142" t="s">
        <v>404</v>
      </c>
      <c r="G142">
        <v>20</v>
      </c>
      <c r="H142">
        <v>8</v>
      </c>
    </row>
    <row r="143" spans="1:8" x14ac:dyDescent="0.35">
      <c r="A143" t="s">
        <v>151</v>
      </c>
      <c r="B143" t="s">
        <v>388</v>
      </c>
      <c r="C143" t="s">
        <v>391</v>
      </c>
      <c r="D143" t="s">
        <v>395</v>
      </c>
      <c r="E143" t="s">
        <v>400</v>
      </c>
      <c r="F143" t="s">
        <v>405</v>
      </c>
      <c r="G143">
        <v>20</v>
      </c>
      <c r="H143">
        <v>15</v>
      </c>
    </row>
    <row r="144" spans="1:8" x14ac:dyDescent="0.35">
      <c r="A144" t="s">
        <v>152</v>
      </c>
      <c r="B144" t="s">
        <v>386</v>
      </c>
      <c r="C144" t="s">
        <v>391</v>
      </c>
      <c r="D144" t="s">
        <v>396</v>
      </c>
      <c r="E144" t="s">
        <v>398</v>
      </c>
      <c r="F144" t="s">
        <v>405</v>
      </c>
      <c r="G144">
        <v>50</v>
      </c>
      <c r="H144">
        <v>12</v>
      </c>
    </row>
    <row r="145" spans="1:8" x14ac:dyDescent="0.35">
      <c r="A145" t="s">
        <v>153</v>
      </c>
      <c r="B145" t="s">
        <v>385</v>
      </c>
      <c r="C145" t="s">
        <v>390</v>
      </c>
      <c r="D145" t="s">
        <v>396</v>
      </c>
      <c r="E145" t="s">
        <v>400</v>
      </c>
      <c r="F145" t="s">
        <v>406</v>
      </c>
      <c r="G145">
        <v>50</v>
      </c>
      <c r="H145">
        <v>7</v>
      </c>
    </row>
    <row r="146" spans="1:8" x14ac:dyDescent="0.35">
      <c r="A146" t="s">
        <v>154</v>
      </c>
      <c r="B146" t="s">
        <v>386</v>
      </c>
      <c r="C146" t="s">
        <v>390</v>
      </c>
      <c r="D146" t="s">
        <v>395</v>
      </c>
      <c r="E146" t="s">
        <v>400</v>
      </c>
      <c r="F146" t="s">
        <v>404</v>
      </c>
      <c r="G146">
        <v>20</v>
      </c>
      <c r="H146">
        <v>16</v>
      </c>
    </row>
    <row r="147" spans="1:8" x14ac:dyDescent="0.35">
      <c r="A147" t="s">
        <v>155</v>
      </c>
      <c r="B147" t="s">
        <v>387</v>
      </c>
      <c r="C147" t="s">
        <v>392</v>
      </c>
      <c r="D147" t="s">
        <v>395</v>
      </c>
      <c r="E147" t="s">
        <v>401</v>
      </c>
      <c r="F147" t="s">
        <v>406</v>
      </c>
      <c r="G147">
        <v>20</v>
      </c>
      <c r="H147">
        <v>16</v>
      </c>
    </row>
    <row r="148" spans="1:8" x14ac:dyDescent="0.35">
      <c r="A148" t="s">
        <v>156</v>
      </c>
      <c r="B148" t="s">
        <v>388</v>
      </c>
      <c r="C148" t="s">
        <v>391</v>
      </c>
      <c r="D148" t="s">
        <v>395</v>
      </c>
      <c r="E148" t="s">
        <v>398</v>
      </c>
      <c r="F148" t="s">
        <v>405</v>
      </c>
      <c r="G148">
        <v>20</v>
      </c>
      <c r="H148">
        <v>18</v>
      </c>
    </row>
    <row r="149" spans="1:8" x14ac:dyDescent="0.35">
      <c r="A149" t="s">
        <v>157</v>
      </c>
      <c r="B149" t="s">
        <v>387</v>
      </c>
      <c r="C149" t="s">
        <v>391</v>
      </c>
      <c r="D149" t="s">
        <v>396</v>
      </c>
      <c r="E149" t="s">
        <v>401</v>
      </c>
      <c r="F149" t="s">
        <v>405</v>
      </c>
      <c r="G149">
        <v>50</v>
      </c>
      <c r="H149">
        <v>5</v>
      </c>
    </row>
    <row r="150" spans="1:8" x14ac:dyDescent="0.35">
      <c r="A150" t="s">
        <v>158</v>
      </c>
      <c r="B150" t="s">
        <v>388</v>
      </c>
      <c r="C150" t="s">
        <v>390</v>
      </c>
      <c r="D150" t="s">
        <v>397</v>
      </c>
      <c r="E150" t="s">
        <v>401</v>
      </c>
      <c r="F150" t="s">
        <v>406</v>
      </c>
      <c r="G150">
        <v>0</v>
      </c>
      <c r="H150">
        <v>7</v>
      </c>
    </row>
    <row r="151" spans="1:8" x14ac:dyDescent="0.35">
      <c r="A151" t="s">
        <v>159</v>
      </c>
      <c r="B151" t="s">
        <v>386</v>
      </c>
      <c r="C151" t="s">
        <v>393</v>
      </c>
      <c r="D151" t="s">
        <v>395</v>
      </c>
      <c r="E151" t="s">
        <v>399</v>
      </c>
      <c r="F151" t="s">
        <v>402</v>
      </c>
      <c r="G151">
        <v>20</v>
      </c>
      <c r="H151">
        <v>19</v>
      </c>
    </row>
    <row r="152" spans="1:8" x14ac:dyDescent="0.35">
      <c r="A152" t="s">
        <v>160</v>
      </c>
      <c r="B152" t="s">
        <v>387</v>
      </c>
      <c r="C152" t="s">
        <v>390</v>
      </c>
      <c r="D152" t="s">
        <v>395</v>
      </c>
      <c r="E152" t="s">
        <v>400</v>
      </c>
      <c r="F152" t="s">
        <v>405</v>
      </c>
      <c r="G152">
        <v>20</v>
      </c>
      <c r="H152">
        <v>12</v>
      </c>
    </row>
    <row r="153" spans="1:8" x14ac:dyDescent="0.35">
      <c r="A153" t="s">
        <v>161</v>
      </c>
      <c r="B153" t="s">
        <v>387</v>
      </c>
      <c r="C153" t="s">
        <v>394</v>
      </c>
      <c r="D153" t="s">
        <v>397</v>
      </c>
      <c r="E153" t="s">
        <v>401</v>
      </c>
      <c r="F153" t="s">
        <v>404</v>
      </c>
      <c r="G153">
        <v>0</v>
      </c>
      <c r="H153">
        <v>20</v>
      </c>
    </row>
    <row r="154" spans="1:8" x14ac:dyDescent="0.35">
      <c r="A154" t="s">
        <v>162</v>
      </c>
      <c r="B154" t="s">
        <v>386</v>
      </c>
      <c r="C154" t="s">
        <v>391</v>
      </c>
      <c r="D154" t="s">
        <v>396</v>
      </c>
      <c r="E154" t="s">
        <v>399</v>
      </c>
      <c r="F154" t="s">
        <v>406</v>
      </c>
      <c r="G154">
        <v>50</v>
      </c>
      <c r="H154">
        <v>16</v>
      </c>
    </row>
    <row r="155" spans="1:8" x14ac:dyDescent="0.35">
      <c r="A155" t="s">
        <v>163</v>
      </c>
      <c r="B155" t="s">
        <v>388</v>
      </c>
      <c r="C155" t="s">
        <v>393</v>
      </c>
      <c r="D155" t="s">
        <v>395</v>
      </c>
      <c r="E155" t="s">
        <v>400</v>
      </c>
      <c r="F155" t="s">
        <v>403</v>
      </c>
      <c r="G155">
        <v>20</v>
      </c>
      <c r="H155">
        <v>1</v>
      </c>
    </row>
    <row r="156" spans="1:8" x14ac:dyDescent="0.35">
      <c r="A156" t="s">
        <v>164</v>
      </c>
      <c r="B156" t="s">
        <v>386</v>
      </c>
      <c r="C156" t="s">
        <v>390</v>
      </c>
      <c r="D156" t="s">
        <v>397</v>
      </c>
      <c r="E156" t="s">
        <v>401</v>
      </c>
      <c r="F156" t="s">
        <v>404</v>
      </c>
      <c r="G156">
        <v>0</v>
      </c>
      <c r="H156">
        <v>13</v>
      </c>
    </row>
    <row r="157" spans="1:8" x14ac:dyDescent="0.35">
      <c r="A157" t="s">
        <v>165</v>
      </c>
      <c r="B157" t="s">
        <v>388</v>
      </c>
      <c r="C157" t="s">
        <v>390</v>
      </c>
      <c r="D157" t="s">
        <v>397</v>
      </c>
      <c r="E157" t="s">
        <v>401</v>
      </c>
      <c r="F157" t="s">
        <v>406</v>
      </c>
      <c r="G157">
        <v>0</v>
      </c>
      <c r="H157">
        <v>14</v>
      </c>
    </row>
    <row r="158" spans="1:8" x14ac:dyDescent="0.35">
      <c r="A158" t="s">
        <v>166</v>
      </c>
      <c r="B158" t="s">
        <v>389</v>
      </c>
      <c r="C158" t="s">
        <v>393</v>
      </c>
      <c r="D158" t="s">
        <v>397</v>
      </c>
      <c r="E158" t="s">
        <v>401</v>
      </c>
      <c r="F158" t="s">
        <v>405</v>
      </c>
      <c r="G158">
        <v>0</v>
      </c>
      <c r="H158">
        <v>0</v>
      </c>
    </row>
    <row r="159" spans="1:8" x14ac:dyDescent="0.35">
      <c r="A159" t="s">
        <v>167</v>
      </c>
      <c r="B159" t="s">
        <v>387</v>
      </c>
      <c r="C159" t="s">
        <v>394</v>
      </c>
      <c r="D159" t="s">
        <v>397</v>
      </c>
      <c r="E159" t="s">
        <v>399</v>
      </c>
      <c r="F159" t="s">
        <v>403</v>
      </c>
      <c r="G159">
        <v>0</v>
      </c>
      <c r="H159">
        <v>10</v>
      </c>
    </row>
    <row r="160" spans="1:8" x14ac:dyDescent="0.35">
      <c r="A160" t="s">
        <v>168</v>
      </c>
      <c r="B160" t="s">
        <v>386</v>
      </c>
      <c r="C160" t="s">
        <v>391</v>
      </c>
      <c r="D160" t="s">
        <v>395</v>
      </c>
      <c r="E160" t="s">
        <v>398</v>
      </c>
      <c r="F160" t="s">
        <v>404</v>
      </c>
      <c r="G160">
        <v>20</v>
      </c>
      <c r="H160">
        <v>10</v>
      </c>
    </row>
    <row r="161" spans="1:8" x14ac:dyDescent="0.35">
      <c r="A161" t="s">
        <v>169</v>
      </c>
      <c r="B161" t="s">
        <v>385</v>
      </c>
      <c r="C161" t="s">
        <v>392</v>
      </c>
      <c r="D161" t="s">
        <v>396</v>
      </c>
      <c r="E161" t="s">
        <v>400</v>
      </c>
      <c r="F161" t="s">
        <v>404</v>
      </c>
      <c r="G161">
        <v>50</v>
      </c>
      <c r="H161">
        <v>15</v>
      </c>
    </row>
    <row r="162" spans="1:8" x14ac:dyDescent="0.35">
      <c r="A162" t="s">
        <v>170</v>
      </c>
      <c r="B162" t="s">
        <v>385</v>
      </c>
      <c r="C162" t="s">
        <v>393</v>
      </c>
      <c r="D162" t="s">
        <v>397</v>
      </c>
      <c r="E162" t="s">
        <v>401</v>
      </c>
      <c r="F162" t="s">
        <v>406</v>
      </c>
      <c r="G162">
        <v>0</v>
      </c>
      <c r="H162">
        <v>16</v>
      </c>
    </row>
    <row r="163" spans="1:8" x14ac:dyDescent="0.35">
      <c r="A163" t="s">
        <v>171</v>
      </c>
      <c r="B163" t="s">
        <v>387</v>
      </c>
      <c r="C163" t="s">
        <v>391</v>
      </c>
      <c r="D163" t="s">
        <v>395</v>
      </c>
      <c r="E163" t="s">
        <v>401</v>
      </c>
      <c r="F163" t="s">
        <v>406</v>
      </c>
      <c r="G163">
        <v>20</v>
      </c>
      <c r="H163">
        <v>3</v>
      </c>
    </row>
    <row r="164" spans="1:8" x14ac:dyDescent="0.35">
      <c r="A164" t="s">
        <v>172</v>
      </c>
      <c r="B164" t="s">
        <v>389</v>
      </c>
      <c r="C164" t="s">
        <v>391</v>
      </c>
      <c r="D164" t="s">
        <v>397</v>
      </c>
      <c r="E164" t="s">
        <v>401</v>
      </c>
      <c r="F164" t="s">
        <v>402</v>
      </c>
      <c r="G164">
        <v>0</v>
      </c>
      <c r="H164">
        <v>1</v>
      </c>
    </row>
    <row r="165" spans="1:8" x14ac:dyDescent="0.35">
      <c r="A165" t="s">
        <v>173</v>
      </c>
      <c r="B165" t="s">
        <v>386</v>
      </c>
      <c r="C165" t="s">
        <v>393</v>
      </c>
      <c r="D165" t="s">
        <v>396</v>
      </c>
      <c r="E165" t="s">
        <v>399</v>
      </c>
      <c r="F165" t="s">
        <v>405</v>
      </c>
      <c r="G165">
        <v>50</v>
      </c>
      <c r="H165">
        <v>14</v>
      </c>
    </row>
    <row r="166" spans="1:8" x14ac:dyDescent="0.35">
      <c r="A166" t="s">
        <v>174</v>
      </c>
      <c r="B166" t="s">
        <v>389</v>
      </c>
      <c r="C166" t="s">
        <v>394</v>
      </c>
      <c r="D166" t="s">
        <v>395</v>
      </c>
      <c r="E166" t="s">
        <v>400</v>
      </c>
      <c r="F166" t="s">
        <v>406</v>
      </c>
      <c r="G166">
        <v>20</v>
      </c>
      <c r="H166">
        <v>18</v>
      </c>
    </row>
    <row r="167" spans="1:8" x14ac:dyDescent="0.35">
      <c r="A167" t="s">
        <v>175</v>
      </c>
      <c r="B167" t="s">
        <v>385</v>
      </c>
      <c r="C167" t="s">
        <v>390</v>
      </c>
      <c r="D167" t="s">
        <v>397</v>
      </c>
      <c r="E167" t="s">
        <v>399</v>
      </c>
      <c r="F167" t="s">
        <v>402</v>
      </c>
      <c r="G167">
        <v>0</v>
      </c>
      <c r="H167">
        <v>20</v>
      </c>
    </row>
    <row r="168" spans="1:8" x14ac:dyDescent="0.35">
      <c r="A168" t="s">
        <v>176</v>
      </c>
      <c r="B168" t="s">
        <v>388</v>
      </c>
      <c r="C168" t="s">
        <v>390</v>
      </c>
      <c r="D168" t="s">
        <v>397</v>
      </c>
      <c r="E168" t="s">
        <v>400</v>
      </c>
      <c r="F168" t="s">
        <v>403</v>
      </c>
      <c r="G168">
        <v>0</v>
      </c>
      <c r="H168">
        <v>11</v>
      </c>
    </row>
    <row r="169" spans="1:8" x14ac:dyDescent="0.35">
      <c r="A169" t="s">
        <v>177</v>
      </c>
      <c r="B169" t="s">
        <v>386</v>
      </c>
      <c r="C169" t="s">
        <v>390</v>
      </c>
      <c r="D169" t="s">
        <v>395</v>
      </c>
      <c r="E169" t="s">
        <v>400</v>
      </c>
      <c r="F169" t="s">
        <v>402</v>
      </c>
      <c r="G169">
        <v>20</v>
      </c>
      <c r="H169">
        <v>17</v>
      </c>
    </row>
    <row r="170" spans="1:8" x14ac:dyDescent="0.35">
      <c r="A170" t="s">
        <v>178</v>
      </c>
      <c r="B170" t="s">
        <v>385</v>
      </c>
      <c r="C170" t="s">
        <v>391</v>
      </c>
      <c r="D170" t="s">
        <v>396</v>
      </c>
      <c r="E170" t="s">
        <v>399</v>
      </c>
      <c r="F170" t="s">
        <v>403</v>
      </c>
      <c r="G170">
        <v>50</v>
      </c>
      <c r="H170">
        <v>19</v>
      </c>
    </row>
    <row r="171" spans="1:8" x14ac:dyDescent="0.35">
      <c r="A171" t="s">
        <v>179</v>
      </c>
      <c r="B171" t="s">
        <v>387</v>
      </c>
      <c r="C171" t="s">
        <v>392</v>
      </c>
      <c r="D171" t="s">
        <v>395</v>
      </c>
      <c r="E171" t="s">
        <v>399</v>
      </c>
      <c r="F171" t="s">
        <v>403</v>
      </c>
      <c r="G171">
        <v>20</v>
      </c>
      <c r="H171">
        <v>1</v>
      </c>
    </row>
    <row r="172" spans="1:8" x14ac:dyDescent="0.35">
      <c r="A172" t="s">
        <v>180</v>
      </c>
      <c r="B172" t="s">
        <v>387</v>
      </c>
      <c r="C172" t="s">
        <v>393</v>
      </c>
      <c r="D172" t="s">
        <v>397</v>
      </c>
      <c r="E172" t="s">
        <v>398</v>
      </c>
      <c r="F172" t="s">
        <v>402</v>
      </c>
      <c r="G172">
        <v>0</v>
      </c>
      <c r="H172">
        <v>4</v>
      </c>
    </row>
    <row r="173" spans="1:8" x14ac:dyDescent="0.35">
      <c r="A173" t="s">
        <v>181</v>
      </c>
      <c r="B173" t="s">
        <v>388</v>
      </c>
      <c r="C173" t="s">
        <v>392</v>
      </c>
      <c r="D173" t="s">
        <v>397</v>
      </c>
      <c r="E173" t="s">
        <v>401</v>
      </c>
      <c r="F173" t="s">
        <v>406</v>
      </c>
      <c r="G173">
        <v>0</v>
      </c>
      <c r="H173">
        <v>10</v>
      </c>
    </row>
    <row r="174" spans="1:8" x14ac:dyDescent="0.35">
      <c r="A174" t="s">
        <v>182</v>
      </c>
      <c r="B174" t="s">
        <v>385</v>
      </c>
      <c r="C174" t="s">
        <v>394</v>
      </c>
      <c r="D174" t="s">
        <v>395</v>
      </c>
      <c r="E174" t="s">
        <v>398</v>
      </c>
      <c r="F174" t="s">
        <v>404</v>
      </c>
      <c r="G174">
        <v>20</v>
      </c>
      <c r="H174">
        <v>0</v>
      </c>
    </row>
    <row r="175" spans="1:8" x14ac:dyDescent="0.35">
      <c r="A175" t="s">
        <v>183</v>
      </c>
      <c r="B175" t="s">
        <v>388</v>
      </c>
      <c r="C175" t="s">
        <v>392</v>
      </c>
      <c r="D175" t="s">
        <v>397</v>
      </c>
      <c r="E175" t="s">
        <v>400</v>
      </c>
      <c r="F175" t="s">
        <v>406</v>
      </c>
      <c r="G175">
        <v>0</v>
      </c>
      <c r="H175">
        <v>7</v>
      </c>
    </row>
    <row r="176" spans="1:8" x14ac:dyDescent="0.35">
      <c r="A176" t="s">
        <v>184</v>
      </c>
      <c r="B176" t="s">
        <v>387</v>
      </c>
      <c r="C176" t="s">
        <v>390</v>
      </c>
      <c r="D176" t="s">
        <v>396</v>
      </c>
      <c r="E176" t="s">
        <v>398</v>
      </c>
      <c r="F176" t="s">
        <v>403</v>
      </c>
      <c r="G176">
        <v>50</v>
      </c>
      <c r="H176">
        <v>19</v>
      </c>
    </row>
    <row r="177" spans="1:8" x14ac:dyDescent="0.35">
      <c r="A177" t="s">
        <v>185</v>
      </c>
      <c r="B177" t="s">
        <v>388</v>
      </c>
      <c r="C177" t="s">
        <v>390</v>
      </c>
      <c r="D177" t="s">
        <v>397</v>
      </c>
      <c r="E177" t="s">
        <v>401</v>
      </c>
      <c r="F177" t="s">
        <v>406</v>
      </c>
      <c r="G177">
        <v>0</v>
      </c>
      <c r="H177">
        <v>5</v>
      </c>
    </row>
    <row r="178" spans="1:8" x14ac:dyDescent="0.35">
      <c r="A178" t="s">
        <v>186</v>
      </c>
      <c r="B178" t="s">
        <v>386</v>
      </c>
      <c r="C178" t="s">
        <v>390</v>
      </c>
      <c r="D178" t="s">
        <v>396</v>
      </c>
      <c r="E178" t="s">
        <v>399</v>
      </c>
      <c r="F178" t="s">
        <v>406</v>
      </c>
      <c r="G178">
        <v>50</v>
      </c>
      <c r="H178">
        <v>20</v>
      </c>
    </row>
    <row r="179" spans="1:8" x14ac:dyDescent="0.35">
      <c r="A179" t="s">
        <v>187</v>
      </c>
      <c r="B179" t="s">
        <v>389</v>
      </c>
      <c r="C179" t="s">
        <v>393</v>
      </c>
      <c r="D179" t="s">
        <v>396</v>
      </c>
      <c r="E179" t="s">
        <v>399</v>
      </c>
      <c r="F179" t="s">
        <v>404</v>
      </c>
      <c r="G179">
        <v>50</v>
      </c>
      <c r="H179">
        <v>2</v>
      </c>
    </row>
    <row r="180" spans="1:8" x14ac:dyDescent="0.35">
      <c r="A180" t="s">
        <v>188</v>
      </c>
      <c r="B180" t="s">
        <v>385</v>
      </c>
      <c r="C180" t="s">
        <v>393</v>
      </c>
      <c r="D180" t="s">
        <v>397</v>
      </c>
      <c r="E180" t="s">
        <v>401</v>
      </c>
      <c r="F180" t="s">
        <v>406</v>
      </c>
      <c r="G180">
        <v>0</v>
      </c>
      <c r="H180">
        <v>6</v>
      </c>
    </row>
    <row r="181" spans="1:8" x14ac:dyDescent="0.35">
      <c r="A181" t="s">
        <v>189</v>
      </c>
      <c r="B181" t="s">
        <v>386</v>
      </c>
      <c r="C181" t="s">
        <v>394</v>
      </c>
      <c r="D181" t="s">
        <v>395</v>
      </c>
      <c r="E181" t="s">
        <v>400</v>
      </c>
      <c r="F181" t="s">
        <v>405</v>
      </c>
      <c r="G181">
        <v>20</v>
      </c>
      <c r="H181">
        <v>1</v>
      </c>
    </row>
    <row r="182" spans="1:8" x14ac:dyDescent="0.35">
      <c r="A182" t="s">
        <v>190</v>
      </c>
      <c r="B182" t="s">
        <v>387</v>
      </c>
      <c r="C182" t="s">
        <v>392</v>
      </c>
      <c r="D182" t="s">
        <v>396</v>
      </c>
      <c r="E182" t="s">
        <v>401</v>
      </c>
      <c r="F182" t="s">
        <v>405</v>
      </c>
      <c r="G182">
        <v>50</v>
      </c>
      <c r="H182">
        <v>0</v>
      </c>
    </row>
    <row r="183" spans="1:8" x14ac:dyDescent="0.35">
      <c r="A183" t="s">
        <v>191</v>
      </c>
      <c r="B183" t="s">
        <v>389</v>
      </c>
      <c r="C183" t="s">
        <v>392</v>
      </c>
      <c r="D183" t="s">
        <v>395</v>
      </c>
      <c r="E183" t="s">
        <v>401</v>
      </c>
      <c r="F183" t="s">
        <v>402</v>
      </c>
      <c r="G183">
        <v>20</v>
      </c>
      <c r="H183">
        <v>15</v>
      </c>
    </row>
    <row r="184" spans="1:8" x14ac:dyDescent="0.35">
      <c r="A184" t="s">
        <v>192</v>
      </c>
      <c r="B184" t="s">
        <v>389</v>
      </c>
      <c r="C184" t="s">
        <v>390</v>
      </c>
      <c r="D184" t="s">
        <v>396</v>
      </c>
      <c r="E184" t="s">
        <v>398</v>
      </c>
      <c r="F184" t="s">
        <v>405</v>
      </c>
      <c r="G184">
        <v>50</v>
      </c>
      <c r="H184">
        <v>0</v>
      </c>
    </row>
    <row r="185" spans="1:8" x14ac:dyDescent="0.35">
      <c r="A185" t="s">
        <v>193</v>
      </c>
      <c r="B185" t="s">
        <v>389</v>
      </c>
      <c r="C185" t="s">
        <v>394</v>
      </c>
      <c r="D185" t="s">
        <v>397</v>
      </c>
      <c r="E185" t="s">
        <v>398</v>
      </c>
      <c r="F185" t="s">
        <v>406</v>
      </c>
      <c r="G185">
        <v>0</v>
      </c>
      <c r="H185">
        <v>12</v>
      </c>
    </row>
    <row r="186" spans="1:8" x14ac:dyDescent="0.35">
      <c r="A186" t="s">
        <v>194</v>
      </c>
      <c r="B186" t="s">
        <v>386</v>
      </c>
      <c r="C186" t="s">
        <v>391</v>
      </c>
      <c r="D186" t="s">
        <v>395</v>
      </c>
      <c r="E186" t="s">
        <v>401</v>
      </c>
      <c r="F186" t="s">
        <v>403</v>
      </c>
      <c r="G186">
        <v>20</v>
      </c>
      <c r="H186">
        <v>2</v>
      </c>
    </row>
    <row r="187" spans="1:8" x14ac:dyDescent="0.35">
      <c r="A187" t="s">
        <v>195</v>
      </c>
      <c r="B187" t="s">
        <v>388</v>
      </c>
      <c r="C187" t="s">
        <v>392</v>
      </c>
      <c r="D187" t="s">
        <v>396</v>
      </c>
      <c r="E187" t="s">
        <v>399</v>
      </c>
      <c r="F187" t="s">
        <v>406</v>
      </c>
      <c r="G187">
        <v>50</v>
      </c>
      <c r="H187">
        <v>20</v>
      </c>
    </row>
    <row r="188" spans="1:8" x14ac:dyDescent="0.35">
      <c r="A188" t="s">
        <v>196</v>
      </c>
      <c r="B188" t="s">
        <v>387</v>
      </c>
      <c r="C188" t="s">
        <v>391</v>
      </c>
      <c r="D188" t="s">
        <v>397</v>
      </c>
      <c r="E188" t="s">
        <v>398</v>
      </c>
      <c r="F188" t="s">
        <v>404</v>
      </c>
      <c r="G188">
        <v>0</v>
      </c>
      <c r="H188">
        <v>20</v>
      </c>
    </row>
    <row r="189" spans="1:8" x14ac:dyDescent="0.35">
      <c r="A189" t="s">
        <v>197</v>
      </c>
      <c r="B189" t="s">
        <v>389</v>
      </c>
      <c r="C189" t="s">
        <v>392</v>
      </c>
      <c r="D189" t="s">
        <v>396</v>
      </c>
      <c r="E189" t="s">
        <v>398</v>
      </c>
      <c r="F189" t="s">
        <v>403</v>
      </c>
      <c r="G189">
        <v>50</v>
      </c>
      <c r="H189">
        <v>5</v>
      </c>
    </row>
    <row r="190" spans="1:8" x14ac:dyDescent="0.35">
      <c r="A190" t="s">
        <v>198</v>
      </c>
      <c r="B190" t="s">
        <v>387</v>
      </c>
      <c r="C190" t="s">
        <v>394</v>
      </c>
      <c r="D190" t="s">
        <v>395</v>
      </c>
      <c r="E190" t="s">
        <v>399</v>
      </c>
      <c r="F190" t="s">
        <v>405</v>
      </c>
      <c r="G190">
        <v>20</v>
      </c>
      <c r="H190">
        <v>11</v>
      </c>
    </row>
    <row r="191" spans="1:8" x14ac:dyDescent="0.35">
      <c r="A191" t="s">
        <v>199</v>
      </c>
      <c r="B191" t="s">
        <v>387</v>
      </c>
      <c r="C191" t="s">
        <v>391</v>
      </c>
      <c r="D191" t="s">
        <v>397</v>
      </c>
      <c r="E191" t="s">
        <v>401</v>
      </c>
      <c r="F191" t="s">
        <v>403</v>
      </c>
      <c r="G191">
        <v>0</v>
      </c>
      <c r="H191">
        <v>2</v>
      </c>
    </row>
    <row r="192" spans="1:8" x14ac:dyDescent="0.35">
      <c r="A192" t="s">
        <v>200</v>
      </c>
      <c r="B192" t="s">
        <v>389</v>
      </c>
      <c r="C192" t="s">
        <v>391</v>
      </c>
      <c r="D192" t="s">
        <v>397</v>
      </c>
      <c r="E192" t="s">
        <v>398</v>
      </c>
      <c r="F192" t="s">
        <v>405</v>
      </c>
      <c r="G192">
        <v>0</v>
      </c>
      <c r="H192">
        <v>8</v>
      </c>
    </row>
    <row r="193" spans="1:8" x14ac:dyDescent="0.35">
      <c r="A193" t="s">
        <v>201</v>
      </c>
      <c r="B193" t="s">
        <v>385</v>
      </c>
      <c r="C193" t="s">
        <v>391</v>
      </c>
      <c r="D193" t="s">
        <v>395</v>
      </c>
      <c r="E193" t="s">
        <v>400</v>
      </c>
      <c r="F193" t="s">
        <v>405</v>
      </c>
      <c r="G193">
        <v>20</v>
      </c>
      <c r="H193">
        <v>12</v>
      </c>
    </row>
    <row r="194" spans="1:8" x14ac:dyDescent="0.35">
      <c r="A194" t="s">
        <v>202</v>
      </c>
      <c r="B194" t="s">
        <v>387</v>
      </c>
      <c r="C194" t="s">
        <v>393</v>
      </c>
      <c r="D194" t="s">
        <v>395</v>
      </c>
      <c r="E194" t="s">
        <v>401</v>
      </c>
      <c r="F194" t="s">
        <v>406</v>
      </c>
      <c r="G194">
        <v>20</v>
      </c>
      <c r="H194">
        <v>14</v>
      </c>
    </row>
    <row r="195" spans="1:8" x14ac:dyDescent="0.35">
      <c r="A195" t="s">
        <v>203</v>
      </c>
      <c r="B195" t="s">
        <v>389</v>
      </c>
      <c r="C195" t="s">
        <v>391</v>
      </c>
      <c r="D195" t="s">
        <v>397</v>
      </c>
      <c r="E195" t="s">
        <v>398</v>
      </c>
      <c r="F195" t="s">
        <v>405</v>
      </c>
      <c r="G195">
        <v>0</v>
      </c>
      <c r="H195">
        <v>8</v>
      </c>
    </row>
    <row r="196" spans="1:8" x14ac:dyDescent="0.35">
      <c r="A196" t="s">
        <v>204</v>
      </c>
      <c r="B196" t="s">
        <v>387</v>
      </c>
      <c r="C196" t="s">
        <v>391</v>
      </c>
      <c r="D196" t="s">
        <v>395</v>
      </c>
      <c r="E196" t="s">
        <v>401</v>
      </c>
      <c r="F196" t="s">
        <v>406</v>
      </c>
      <c r="G196">
        <v>20</v>
      </c>
      <c r="H196">
        <v>20</v>
      </c>
    </row>
    <row r="197" spans="1:8" x14ac:dyDescent="0.35">
      <c r="A197" t="s">
        <v>205</v>
      </c>
      <c r="B197" t="s">
        <v>387</v>
      </c>
      <c r="C197" t="s">
        <v>394</v>
      </c>
      <c r="D197" t="s">
        <v>395</v>
      </c>
      <c r="E197" t="s">
        <v>399</v>
      </c>
      <c r="F197" t="s">
        <v>405</v>
      </c>
      <c r="G197">
        <v>20</v>
      </c>
      <c r="H197">
        <v>5</v>
      </c>
    </row>
    <row r="198" spans="1:8" x14ac:dyDescent="0.35">
      <c r="A198" t="s">
        <v>206</v>
      </c>
      <c r="B198" t="s">
        <v>387</v>
      </c>
      <c r="C198" t="s">
        <v>392</v>
      </c>
      <c r="D198" t="s">
        <v>395</v>
      </c>
      <c r="E198" t="s">
        <v>399</v>
      </c>
      <c r="F198" t="s">
        <v>404</v>
      </c>
      <c r="G198">
        <v>20</v>
      </c>
      <c r="H198">
        <v>4</v>
      </c>
    </row>
    <row r="199" spans="1:8" x14ac:dyDescent="0.35">
      <c r="A199" t="s">
        <v>207</v>
      </c>
      <c r="B199" t="s">
        <v>387</v>
      </c>
      <c r="C199" t="s">
        <v>391</v>
      </c>
      <c r="D199" t="s">
        <v>395</v>
      </c>
      <c r="E199" t="s">
        <v>400</v>
      </c>
      <c r="F199" t="s">
        <v>406</v>
      </c>
      <c r="G199">
        <v>20</v>
      </c>
      <c r="H199">
        <v>19</v>
      </c>
    </row>
    <row r="200" spans="1:8" x14ac:dyDescent="0.35">
      <c r="A200" t="s">
        <v>208</v>
      </c>
      <c r="B200" t="s">
        <v>386</v>
      </c>
      <c r="C200" t="s">
        <v>391</v>
      </c>
      <c r="D200" t="s">
        <v>397</v>
      </c>
      <c r="E200" t="s">
        <v>399</v>
      </c>
      <c r="F200" t="s">
        <v>403</v>
      </c>
      <c r="G200">
        <v>0</v>
      </c>
      <c r="H200">
        <v>1</v>
      </c>
    </row>
    <row r="201" spans="1:8" x14ac:dyDescent="0.35">
      <c r="A201" t="s">
        <v>209</v>
      </c>
      <c r="B201" t="s">
        <v>387</v>
      </c>
      <c r="C201" t="s">
        <v>393</v>
      </c>
      <c r="D201" t="s">
        <v>396</v>
      </c>
      <c r="E201" t="s">
        <v>400</v>
      </c>
      <c r="F201" t="s">
        <v>403</v>
      </c>
      <c r="G201">
        <v>50</v>
      </c>
      <c r="H201">
        <v>0</v>
      </c>
    </row>
    <row r="202" spans="1:8" x14ac:dyDescent="0.35">
      <c r="A202" t="s">
        <v>210</v>
      </c>
      <c r="B202" t="s">
        <v>389</v>
      </c>
      <c r="C202" t="s">
        <v>394</v>
      </c>
      <c r="D202" t="s">
        <v>395</v>
      </c>
      <c r="E202" t="s">
        <v>399</v>
      </c>
      <c r="F202" t="s">
        <v>406</v>
      </c>
      <c r="G202">
        <v>20</v>
      </c>
      <c r="H202">
        <v>8</v>
      </c>
    </row>
    <row r="203" spans="1:8" x14ac:dyDescent="0.35">
      <c r="A203" t="s">
        <v>211</v>
      </c>
      <c r="B203" t="s">
        <v>385</v>
      </c>
      <c r="C203" t="s">
        <v>390</v>
      </c>
      <c r="D203" t="s">
        <v>395</v>
      </c>
      <c r="E203" t="s">
        <v>401</v>
      </c>
      <c r="F203" t="s">
        <v>403</v>
      </c>
      <c r="G203">
        <v>20</v>
      </c>
      <c r="H203">
        <v>17</v>
      </c>
    </row>
    <row r="204" spans="1:8" x14ac:dyDescent="0.35">
      <c r="A204" t="s">
        <v>212</v>
      </c>
      <c r="B204" t="s">
        <v>389</v>
      </c>
      <c r="C204" t="s">
        <v>392</v>
      </c>
      <c r="D204" t="s">
        <v>396</v>
      </c>
      <c r="E204" t="s">
        <v>399</v>
      </c>
      <c r="F204" t="s">
        <v>402</v>
      </c>
      <c r="G204">
        <v>50</v>
      </c>
      <c r="H204">
        <v>0</v>
      </c>
    </row>
    <row r="205" spans="1:8" x14ac:dyDescent="0.35">
      <c r="A205" t="s">
        <v>213</v>
      </c>
      <c r="B205" t="s">
        <v>385</v>
      </c>
      <c r="C205" t="s">
        <v>394</v>
      </c>
      <c r="D205" t="s">
        <v>395</v>
      </c>
      <c r="E205" t="s">
        <v>398</v>
      </c>
      <c r="F205" t="s">
        <v>405</v>
      </c>
      <c r="G205">
        <v>20</v>
      </c>
      <c r="H205">
        <v>17</v>
      </c>
    </row>
    <row r="206" spans="1:8" x14ac:dyDescent="0.35">
      <c r="A206" t="s">
        <v>214</v>
      </c>
      <c r="B206" t="s">
        <v>388</v>
      </c>
      <c r="C206" t="s">
        <v>391</v>
      </c>
      <c r="D206" t="s">
        <v>397</v>
      </c>
      <c r="E206" t="s">
        <v>399</v>
      </c>
      <c r="F206" t="s">
        <v>406</v>
      </c>
      <c r="G206">
        <v>0</v>
      </c>
      <c r="H206">
        <v>12</v>
      </c>
    </row>
    <row r="207" spans="1:8" x14ac:dyDescent="0.35">
      <c r="A207" t="s">
        <v>215</v>
      </c>
      <c r="B207" t="s">
        <v>387</v>
      </c>
      <c r="C207" t="s">
        <v>391</v>
      </c>
      <c r="D207" t="s">
        <v>396</v>
      </c>
      <c r="E207" t="s">
        <v>399</v>
      </c>
      <c r="F207" t="s">
        <v>404</v>
      </c>
      <c r="G207">
        <v>50</v>
      </c>
      <c r="H207">
        <v>20</v>
      </c>
    </row>
    <row r="208" spans="1:8" x14ac:dyDescent="0.35">
      <c r="A208" t="s">
        <v>216</v>
      </c>
      <c r="B208" t="s">
        <v>389</v>
      </c>
      <c r="C208" t="s">
        <v>392</v>
      </c>
      <c r="D208" t="s">
        <v>395</v>
      </c>
      <c r="E208" t="s">
        <v>398</v>
      </c>
      <c r="F208" t="s">
        <v>404</v>
      </c>
      <c r="G208">
        <v>20</v>
      </c>
      <c r="H208">
        <v>17</v>
      </c>
    </row>
    <row r="209" spans="1:8" x14ac:dyDescent="0.35">
      <c r="A209" t="s">
        <v>217</v>
      </c>
      <c r="B209" t="s">
        <v>387</v>
      </c>
      <c r="C209" t="s">
        <v>394</v>
      </c>
      <c r="D209" t="s">
        <v>397</v>
      </c>
      <c r="E209" t="s">
        <v>399</v>
      </c>
      <c r="F209" t="s">
        <v>406</v>
      </c>
      <c r="G209">
        <v>0</v>
      </c>
      <c r="H209">
        <v>9</v>
      </c>
    </row>
    <row r="210" spans="1:8" x14ac:dyDescent="0.35">
      <c r="A210" t="s">
        <v>218</v>
      </c>
      <c r="B210" t="s">
        <v>386</v>
      </c>
      <c r="C210" t="s">
        <v>390</v>
      </c>
      <c r="D210" t="s">
        <v>397</v>
      </c>
      <c r="E210" t="s">
        <v>398</v>
      </c>
      <c r="F210" t="s">
        <v>403</v>
      </c>
      <c r="G210">
        <v>0</v>
      </c>
      <c r="H210">
        <v>19</v>
      </c>
    </row>
    <row r="211" spans="1:8" x14ac:dyDescent="0.35">
      <c r="A211" t="s">
        <v>219</v>
      </c>
      <c r="B211" t="s">
        <v>386</v>
      </c>
      <c r="C211" t="s">
        <v>390</v>
      </c>
      <c r="D211" t="s">
        <v>396</v>
      </c>
      <c r="E211" t="s">
        <v>400</v>
      </c>
      <c r="F211" t="s">
        <v>405</v>
      </c>
      <c r="G211">
        <v>50</v>
      </c>
      <c r="H211">
        <v>2</v>
      </c>
    </row>
    <row r="212" spans="1:8" x14ac:dyDescent="0.35">
      <c r="A212" t="s">
        <v>220</v>
      </c>
      <c r="B212" t="s">
        <v>387</v>
      </c>
      <c r="C212" t="s">
        <v>394</v>
      </c>
      <c r="D212" t="s">
        <v>396</v>
      </c>
      <c r="E212" t="s">
        <v>401</v>
      </c>
      <c r="F212" t="s">
        <v>406</v>
      </c>
      <c r="G212">
        <v>50</v>
      </c>
      <c r="H212">
        <v>4</v>
      </c>
    </row>
    <row r="213" spans="1:8" x14ac:dyDescent="0.35">
      <c r="A213" t="s">
        <v>221</v>
      </c>
      <c r="B213" t="s">
        <v>387</v>
      </c>
      <c r="C213" t="s">
        <v>393</v>
      </c>
      <c r="D213" t="s">
        <v>396</v>
      </c>
      <c r="E213" t="s">
        <v>401</v>
      </c>
      <c r="F213" t="s">
        <v>404</v>
      </c>
      <c r="G213">
        <v>50</v>
      </c>
      <c r="H213">
        <v>0</v>
      </c>
    </row>
    <row r="214" spans="1:8" x14ac:dyDescent="0.35">
      <c r="A214" t="s">
        <v>222</v>
      </c>
      <c r="B214" t="s">
        <v>385</v>
      </c>
      <c r="C214" t="s">
        <v>391</v>
      </c>
      <c r="D214" t="s">
        <v>396</v>
      </c>
      <c r="E214" t="s">
        <v>399</v>
      </c>
      <c r="F214" t="s">
        <v>405</v>
      </c>
      <c r="G214">
        <v>50</v>
      </c>
      <c r="H214">
        <v>13</v>
      </c>
    </row>
    <row r="215" spans="1:8" x14ac:dyDescent="0.35">
      <c r="A215" t="s">
        <v>223</v>
      </c>
      <c r="B215" t="s">
        <v>388</v>
      </c>
      <c r="C215" t="s">
        <v>394</v>
      </c>
      <c r="D215" t="s">
        <v>397</v>
      </c>
      <c r="E215" t="s">
        <v>399</v>
      </c>
      <c r="F215" t="s">
        <v>402</v>
      </c>
      <c r="G215">
        <v>0</v>
      </c>
      <c r="H215">
        <v>6</v>
      </c>
    </row>
    <row r="216" spans="1:8" x14ac:dyDescent="0.35">
      <c r="A216" t="s">
        <v>224</v>
      </c>
      <c r="B216" t="s">
        <v>388</v>
      </c>
      <c r="C216" t="s">
        <v>392</v>
      </c>
      <c r="D216" t="s">
        <v>395</v>
      </c>
      <c r="E216" t="s">
        <v>398</v>
      </c>
      <c r="F216" t="s">
        <v>402</v>
      </c>
      <c r="G216">
        <v>20</v>
      </c>
      <c r="H216">
        <v>13</v>
      </c>
    </row>
    <row r="217" spans="1:8" x14ac:dyDescent="0.35">
      <c r="A217" t="s">
        <v>225</v>
      </c>
      <c r="B217" t="s">
        <v>388</v>
      </c>
      <c r="C217" t="s">
        <v>390</v>
      </c>
      <c r="D217" t="s">
        <v>397</v>
      </c>
      <c r="E217" t="s">
        <v>401</v>
      </c>
      <c r="F217" t="s">
        <v>406</v>
      </c>
      <c r="G217">
        <v>0</v>
      </c>
      <c r="H217">
        <v>12</v>
      </c>
    </row>
    <row r="218" spans="1:8" x14ac:dyDescent="0.35">
      <c r="A218" t="s">
        <v>226</v>
      </c>
      <c r="B218" t="s">
        <v>385</v>
      </c>
      <c r="C218" t="s">
        <v>394</v>
      </c>
      <c r="D218" t="s">
        <v>396</v>
      </c>
      <c r="E218" t="s">
        <v>400</v>
      </c>
      <c r="F218" t="s">
        <v>406</v>
      </c>
      <c r="G218">
        <v>50</v>
      </c>
      <c r="H218">
        <v>9</v>
      </c>
    </row>
    <row r="219" spans="1:8" x14ac:dyDescent="0.35">
      <c r="A219" t="s">
        <v>227</v>
      </c>
      <c r="B219" t="s">
        <v>386</v>
      </c>
      <c r="C219" t="s">
        <v>394</v>
      </c>
      <c r="D219" t="s">
        <v>396</v>
      </c>
      <c r="E219" t="s">
        <v>399</v>
      </c>
      <c r="F219" t="s">
        <v>405</v>
      </c>
      <c r="G219">
        <v>50</v>
      </c>
      <c r="H219">
        <v>18</v>
      </c>
    </row>
    <row r="220" spans="1:8" x14ac:dyDescent="0.35">
      <c r="A220" t="s">
        <v>228</v>
      </c>
      <c r="B220" t="s">
        <v>388</v>
      </c>
      <c r="C220" t="s">
        <v>390</v>
      </c>
      <c r="D220" t="s">
        <v>395</v>
      </c>
      <c r="E220" t="s">
        <v>401</v>
      </c>
      <c r="F220" t="s">
        <v>406</v>
      </c>
      <c r="G220">
        <v>20</v>
      </c>
      <c r="H220">
        <v>9</v>
      </c>
    </row>
    <row r="221" spans="1:8" x14ac:dyDescent="0.35">
      <c r="A221" t="s">
        <v>229</v>
      </c>
      <c r="B221" t="s">
        <v>387</v>
      </c>
      <c r="C221" t="s">
        <v>393</v>
      </c>
      <c r="D221" t="s">
        <v>395</v>
      </c>
      <c r="E221" t="s">
        <v>398</v>
      </c>
      <c r="F221" t="s">
        <v>403</v>
      </c>
      <c r="G221">
        <v>20</v>
      </c>
      <c r="H221">
        <v>0</v>
      </c>
    </row>
    <row r="222" spans="1:8" x14ac:dyDescent="0.35">
      <c r="A222" t="s">
        <v>230</v>
      </c>
      <c r="B222" t="s">
        <v>388</v>
      </c>
      <c r="C222" t="s">
        <v>394</v>
      </c>
      <c r="D222" t="s">
        <v>397</v>
      </c>
      <c r="E222" t="s">
        <v>400</v>
      </c>
      <c r="F222" t="s">
        <v>406</v>
      </c>
      <c r="G222">
        <v>0</v>
      </c>
      <c r="H222">
        <v>6</v>
      </c>
    </row>
    <row r="223" spans="1:8" x14ac:dyDescent="0.35">
      <c r="A223" t="s">
        <v>231</v>
      </c>
      <c r="B223" t="s">
        <v>389</v>
      </c>
      <c r="C223" t="s">
        <v>393</v>
      </c>
      <c r="D223" t="s">
        <v>397</v>
      </c>
      <c r="E223" t="s">
        <v>398</v>
      </c>
      <c r="F223" t="s">
        <v>405</v>
      </c>
      <c r="G223">
        <v>0</v>
      </c>
      <c r="H223">
        <v>1</v>
      </c>
    </row>
    <row r="224" spans="1:8" x14ac:dyDescent="0.35">
      <c r="A224" t="s">
        <v>232</v>
      </c>
      <c r="B224" t="s">
        <v>387</v>
      </c>
      <c r="C224" t="s">
        <v>393</v>
      </c>
      <c r="D224" t="s">
        <v>395</v>
      </c>
      <c r="E224" t="s">
        <v>399</v>
      </c>
      <c r="F224" t="s">
        <v>404</v>
      </c>
      <c r="G224">
        <v>20</v>
      </c>
      <c r="H224">
        <v>6</v>
      </c>
    </row>
    <row r="225" spans="1:8" x14ac:dyDescent="0.35">
      <c r="A225" t="s">
        <v>233</v>
      </c>
      <c r="B225" t="s">
        <v>386</v>
      </c>
      <c r="C225" t="s">
        <v>390</v>
      </c>
      <c r="D225" t="s">
        <v>397</v>
      </c>
      <c r="E225" t="s">
        <v>398</v>
      </c>
      <c r="F225" t="s">
        <v>403</v>
      </c>
      <c r="G225">
        <v>0</v>
      </c>
      <c r="H225">
        <v>7</v>
      </c>
    </row>
    <row r="226" spans="1:8" x14ac:dyDescent="0.35">
      <c r="A226" t="s">
        <v>234</v>
      </c>
      <c r="B226" t="s">
        <v>385</v>
      </c>
      <c r="C226" t="s">
        <v>392</v>
      </c>
      <c r="D226" t="s">
        <v>395</v>
      </c>
      <c r="E226" t="s">
        <v>399</v>
      </c>
      <c r="F226" t="s">
        <v>404</v>
      </c>
      <c r="G226">
        <v>20</v>
      </c>
      <c r="H226">
        <v>5</v>
      </c>
    </row>
    <row r="227" spans="1:8" x14ac:dyDescent="0.35">
      <c r="A227" t="s">
        <v>235</v>
      </c>
      <c r="B227" t="s">
        <v>385</v>
      </c>
      <c r="C227" t="s">
        <v>393</v>
      </c>
      <c r="D227" t="s">
        <v>396</v>
      </c>
      <c r="E227" t="s">
        <v>400</v>
      </c>
      <c r="F227" t="s">
        <v>404</v>
      </c>
      <c r="G227">
        <v>50</v>
      </c>
      <c r="H227">
        <v>4</v>
      </c>
    </row>
    <row r="228" spans="1:8" x14ac:dyDescent="0.35">
      <c r="A228" t="s">
        <v>236</v>
      </c>
      <c r="B228" t="s">
        <v>388</v>
      </c>
      <c r="C228" t="s">
        <v>391</v>
      </c>
      <c r="D228" t="s">
        <v>396</v>
      </c>
      <c r="E228" t="s">
        <v>401</v>
      </c>
      <c r="F228" t="s">
        <v>405</v>
      </c>
      <c r="G228">
        <v>50</v>
      </c>
      <c r="H228">
        <v>19</v>
      </c>
    </row>
    <row r="229" spans="1:8" x14ac:dyDescent="0.35">
      <c r="A229" t="s">
        <v>237</v>
      </c>
      <c r="B229" t="s">
        <v>385</v>
      </c>
      <c r="C229" t="s">
        <v>392</v>
      </c>
      <c r="D229" t="s">
        <v>395</v>
      </c>
      <c r="E229" t="s">
        <v>399</v>
      </c>
      <c r="F229" t="s">
        <v>405</v>
      </c>
      <c r="G229">
        <v>20</v>
      </c>
      <c r="H229">
        <v>2</v>
      </c>
    </row>
    <row r="230" spans="1:8" x14ac:dyDescent="0.35">
      <c r="A230" t="s">
        <v>238</v>
      </c>
      <c r="B230" t="s">
        <v>387</v>
      </c>
      <c r="C230" t="s">
        <v>392</v>
      </c>
      <c r="D230" t="s">
        <v>396</v>
      </c>
      <c r="E230" t="s">
        <v>399</v>
      </c>
      <c r="F230" t="s">
        <v>403</v>
      </c>
      <c r="G230">
        <v>50</v>
      </c>
      <c r="H230">
        <v>19</v>
      </c>
    </row>
    <row r="231" spans="1:8" x14ac:dyDescent="0.35">
      <c r="A231" t="s">
        <v>239</v>
      </c>
      <c r="B231" t="s">
        <v>389</v>
      </c>
      <c r="C231" t="s">
        <v>390</v>
      </c>
      <c r="D231" t="s">
        <v>397</v>
      </c>
      <c r="E231" t="s">
        <v>398</v>
      </c>
      <c r="F231" t="s">
        <v>405</v>
      </c>
      <c r="G231">
        <v>0</v>
      </c>
      <c r="H231">
        <v>12</v>
      </c>
    </row>
    <row r="232" spans="1:8" x14ac:dyDescent="0.35">
      <c r="A232" t="s">
        <v>240</v>
      </c>
      <c r="B232" t="s">
        <v>388</v>
      </c>
      <c r="C232" t="s">
        <v>391</v>
      </c>
      <c r="D232" t="s">
        <v>395</v>
      </c>
      <c r="E232" t="s">
        <v>401</v>
      </c>
      <c r="F232" t="s">
        <v>403</v>
      </c>
      <c r="G232">
        <v>20</v>
      </c>
      <c r="H232">
        <v>2</v>
      </c>
    </row>
    <row r="233" spans="1:8" x14ac:dyDescent="0.35">
      <c r="A233" t="s">
        <v>241</v>
      </c>
      <c r="B233" t="s">
        <v>385</v>
      </c>
      <c r="C233" t="s">
        <v>394</v>
      </c>
      <c r="D233" t="s">
        <v>397</v>
      </c>
      <c r="E233" t="s">
        <v>400</v>
      </c>
      <c r="F233" t="s">
        <v>406</v>
      </c>
      <c r="G233">
        <v>0</v>
      </c>
      <c r="H233">
        <v>14</v>
      </c>
    </row>
    <row r="234" spans="1:8" x14ac:dyDescent="0.35">
      <c r="A234" t="s">
        <v>242</v>
      </c>
      <c r="B234" t="s">
        <v>388</v>
      </c>
      <c r="C234" t="s">
        <v>391</v>
      </c>
      <c r="D234" t="s">
        <v>397</v>
      </c>
      <c r="E234" t="s">
        <v>399</v>
      </c>
      <c r="F234" t="s">
        <v>402</v>
      </c>
      <c r="G234">
        <v>0</v>
      </c>
      <c r="H234">
        <v>13</v>
      </c>
    </row>
    <row r="235" spans="1:8" x14ac:dyDescent="0.35">
      <c r="A235" t="s">
        <v>243</v>
      </c>
      <c r="B235" t="s">
        <v>385</v>
      </c>
      <c r="C235" t="s">
        <v>394</v>
      </c>
      <c r="D235" t="s">
        <v>397</v>
      </c>
      <c r="E235" t="s">
        <v>399</v>
      </c>
      <c r="F235" t="s">
        <v>402</v>
      </c>
      <c r="G235">
        <v>0</v>
      </c>
      <c r="H235">
        <v>5</v>
      </c>
    </row>
    <row r="236" spans="1:8" x14ac:dyDescent="0.35">
      <c r="A236" t="s">
        <v>244</v>
      </c>
      <c r="B236" t="s">
        <v>386</v>
      </c>
      <c r="C236" t="s">
        <v>390</v>
      </c>
      <c r="D236" t="s">
        <v>396</v>
      </c>
      <c r="E236" t="s">
        <v>399</v>
      </c>
      <c r="F236" t="s">
        <v>403</v>
      </c>
      <c r="G236">
        <v>50</v>
      </c>
      <c r="H236">
        <v>20</v>
      </c>
    </row>
    <row r="237" spans="1:8" x14ac:dyDescent="0.35">
      <c r="A237" t="s">
        <v>245</v>
      </c>
      <c r="B237" t="s">
        <v>389</v>
      </c>
      <c r="C237" t="s">
        <v>392</v>
      </c>
      <c r="D237" t="s">
        <v>395</v>
      </c>
      <c r="E237" t="s">
        <v>401</v>
      </c>
      <c r="F237" t="s">
        <v>402</v>
      </c>
      <c r="G237">
        <v>20</v>
      </c>
      <c r="H237">
        <v>6</v>
      </c>
    </row>
    <row r="238" spans="1:8" x14ac:dyDescent="0.35">
      <c r="A238" t="s">
        <v>246</v>
      </c>
      <c r="B238" t="s">
        <v>387</v>
      </c>
      <c r="C238" t="s">
        <v>390</v>
      </c>
      <c r="D238" t="s">
        <v>397</v>
      </c>
      <c r="E238" t="s">
        <v>400</v>
      </c>
      <c r="F238" t="s">
        <v>406</v>
      </c>
      <c r="G238">
        <v>0</v>
      </c>
      <c r="H238">
        <v>10</v>
      </c>
    </row>
    <row r="239" spans="1:8" x14ac:dyDescent="0.35">
      <c r="A239" t="s">
        <v>247</v>
      </c>
      <c r="B239" t="s">
        <v>387</v>
      </c>
      <c r="C239" t="s">
        <v>392</v>
      </c>
      <c r="D239" t="s">
        <v>396</v>
      </c>
      <c r="E239" t="s">
        <v>401</v>
      </c>
      <c r="F239" t="s">
        <v>406</v>
      </c>
      <c r="G239">
        <v>50</v>
      </c>
      <c r="H239">
        <v>18</v>
      </c>
    </row>
    <row r="240" spans="1:8" x14ac:dyDescent="0.35">
      <c r="A240" t="s">
        <v>248</v>
      </c>
      <c r="B240" t="s">
        <v>385</v>
      </c>
      <c r="C240" t="s">
        <v>390</v>
      </c>
      <c r="D240" t="s">
        <v>396</v>
      </c>
      <c r="E240" t="s">
        <v>398</v>
      </c>
      <c r="F240" t="s">
        <v>403</v>
      </c>
      <c r="G240">
        <v>50</v>
      </c>
      <c r="H240">
        <v>13</v>
      </c>
    </row>
    <row r="241" spans="1:8" x14ac:dyDescent="0.35">
      <c r="A241" t="s">
        <v>249</v>
      </c>
      <c r="B241" t="s">
        <v>385</v>
      </c>
      <c r="C241" t="s">
        <v>392</v>
      </c>
      <c r="D241" t="s">
        <v>397</v>
      </c>
      <c r="E241" t="s">
        <v>398</v>
      </c>
      <c r="F241" t="s">
        <v>402</v>
      </c>
      <c r="G241">
        <v>0</v>
      </c>
      <c r="H241">
        <v>14</v>
      </c>
    </row>
    <row r="242" spans="1:8" x14ac:dyDescent="0.35">
      <c r="A242" t="s">
        <v>250</v>
      </c>
      <c r="B242" t="s">
        <v>386</v>
      </c>
      <c r="C242" t="s">
        <v>394</v>
      </c>
      <c r="D242" t="s">
        <v>395</v>
      </c>
      <c r="E242" t="s">
        <v>398</v>
      </c>
      <c r="F242" t="s">
        <v>404</v>
      </c>
      <c r="G242">
        <v>20</v>
      </c>
      <c r="H242">
        <v>14</v>
      </c>
    </row>
    <row r="243" spans="1:8" x14ac:dyDescent="0.35">
      <c r="A243" t="s">
        <v>251</v>
      </c>
      <c r="B243" t="s">
        <v>387</v>
      </c>
      <c r="C243" t="s">
        <v>390</v>
      </c>
      <c r="D243" t="s">
        <v>396</v>
      </c>
      <c r="E243" t="s">
        <v>399</v>
      </c>
      <c r="F243" t="s">
        <v>403</v>
      </c>
      <c r="G243">
        <v>50</v>
      </c>
      <c r="H243">
        <v>11</v>
      </c>
    </row>
    <row r="244" spans="1:8" x14ac:dyDescent="0.35">
      <c r="A244" t="s">
        <v>252</v>
      </c>
      <c r="B244" t="s">
        <v>386</v>
      </c>
      <c r="C244" t="s">
        <v>394</v>
      </c>
      <c r="D244" t="s">
        <v>397</v>
      </c>
      <c r="E244" t="s">
        <v>399</v>
      </c>
      <c r="F244" t="s">
        <v>406</v>
      </c>
      <c r="G244">
        <v>0</v>
      </c>
      <c r="H244">
        <v>16</v>
      </c>
    </row>
    <row r="245" spans="1:8" x14ac:dyDescent="0.35">
      <c r="A245" t="s">
        <v>253</v>
      </c>
      <c r="B245" t="s">
        <v>387</v>
      </c>
      <c r="C245" t="s">
        <v>393</v>
      </c>
      <c r="D245" t="s">
        <v>395</v>
      </c>
      <c r="E245" t="s">
        <v>401</v>
      </c>
      <c r="F245" t="s">
        <v>406</v>
      </c>
      <c r="G245">
        <v>20</v>
      </c>
      <c r="H245">
        <v>9</v>
      </c>
    </row>
    <row r="246" spans="1:8" x14ac:dyDescent="0.35">
      <c r="A246" t="s">
        <v>254</v>
      </c>
      <c r="B246" t="s">
        <v>389</v>
      </c>
      <c r="C246" t="s">
        <v>394</v>
      </c>
      <c r="D246" t="s">
        <v>397</v>
      </c>
      <c r="E246" t="s">
        <v>399</v>
      </c>
      <c r="F246" t="s">
        <v>402</v>
      </c>
      <c r="G246">
        <v>0</v>
      </c>
      <c r="H246">
        <v>1</v>
      </c>
    </row>
    <row r="247" spans="1:8" x14ac:dyDescent="0.35">
      <c r="A247" t="s">
        <v>255</v>
      </c>
      <c r="B247" t="s">
        <v>389</v>
      </c>
      <c r="C247" t="s">
        <v>394</v>
      </c>
      <c r="D247" t="s">
        <v>395</v>
      </c>
      <c r="E247" t="s">
        <v>401</v>
      </c>
      <c r="F247" t="s">
        <v>403</v>
      </c>
      <c r="G247">
        <v>20</v>
      </c>
      <c r="H247">
        <v>10</v>
      </c>
    </row>
    <row r="248" spans="1:8" x14ac:dyDescent="0.35">
      <c r="A248" t="s">
        <v>256</v>
      </c>
      <c r="B248" t="s">
        <v>389</v>
      </c>
      <c r="C248" t="s">
        <v>391</v>
      </c>
      <c r="D248" t="s">
        <v>397</v>
      </c>
      <c r="E248" t="s">
        <v>400</v>
      </c>
      <c r="F248" t="s">
        <v>405</v>
      </c>
      <c r="G248">
        <v>0</v>
      </c>
      <c r="H248">
        <v>15</v>
      </c>
    </row>
    <row r="249" spans="1:8" x14ac:dyDescent="0.35">
      <c r="A249" t="s">
        <v>257</v>
      </c>
      <c r="B249" t="s">
        <v>387</v>
      </c>
      <c r="C249" t="s">
        <v>391</v>
      </c>
      <c r="D249" t="s">
        <v>395</v>
      </c>
      <c r="E249" t="s">
        <v>401</v>
      </c>
      <c r="F249" t="s">
        <v>405</v>
      </c>
      <c r="G249">
        <v>20</v>
      </c>
      <c r="H249">
        <v>3</v>
      </c>
    </row>
    <row r="250" spans="1:8" x14ac:dyDescent="0.35">
      <c r="A250" t="s">
        <v>258</v>
      </c>
      <c r="B250" t="s">
        <v>386</v>
      </c>
      <c r="C250" t="s">
        <v>391</v>
      </c>
      <c r="D250" t="s">
        <v>396</v>
      </c>
      <c r="E250" t="s">
        <v>401</v>
      </c>
      <c r="F250" t="s">
        <v>405</v>
      </c>
      <c r="G250">
        <v>50</v>
      </c>
      <c r="H250">
        <v>1</v>
      </c>
    </row>
    <row r="251" spans="1:8" x14ac:dyDescent="0.35">
      <c r="A251" t="s">
        <v>259</v>
      </c>
      <c r="B251" t="s">
        <v>386</v>
      </c>
      <c r="C251" t="s">
        <v>394</v>
      </c>
      <c r="D251" t="s">
        <v>397</v>
      </c>
      <c r="E251" t="s">
        <v>401</v>
      </c>
      <c r="F251" t="s">
        <v>404</v>
      </c>
      <c r="G251">
        <v>0</v>
      </c>
      <c r="H251">
        <v>3</v>
      </c>
    </row>
    <row r="252" spans="1:8" x14ac:dyDescent="0.35">
      <c r="A252" t="s">
        <v>260</v>
      </c>
      <c r="B252" t="s">
        <v>388</v>
      </c>
      <c r="C252" t="s">
        <v>390</v>
      </c>
      <c r="D252" t="s">
        <v>397</v>
      </c>
      <c r="E252" t="s">
        <v>401</v>
      </c>
      <c r="F252" t="s">
        <v>404</v>
      </c>
      <c r="G252">
        <v>0</v>
      </c>
      <c r="H252">
        <v>5</v>
      </c>
    </row>
    <row r="253" spans="1:8" x14ac:dyDescent="0.35">
      <c r="A253" t="s">
        <v>261</v>
      </c>
      <c r="B253" t="s">
        <v>387</v>
      </c>
      <c r="C253" t="s">
        <v>390</v>
      </c>
      <c r="D253" t="s">
        <v>395</v>
      </c>
      <c r="E253" t="s">
        <v>400</v>
      </c>
      <c r="F253" t="s">
        <v>403</v>
      </c>
      <c r="G253">
        <v>20</v>
      </c>
      <c r="H253">
        <v>6</v>
      </c>
    </row>
    <row r="254" spans="1:8" x14ac:dyDescent="0.35">
      <c r="A254" t="s">
        <v>262</v>
      </c>
      <c r="B254" t="s">
        <v>386</v>
      </c>
      <c r="C254" t="s">
        <v>390</v>
      </c>
      <c r="D254" t="s">
        <v>395</v>
      </c>
      <c r="E254" t="s">
        <v>398</v>
      </c>
      <c r="F254" t="s">
        <v>402</v>
      </c>
      <c r="G254">
        <v>20</v>
      </c>
      <c r="H254">
        <v>10</v>
      </c>
    </row>
    <row r="255" spans="1:8" x14ac:dyDescent="0.35">
      <c r="A255" t="s">
        <v>263</v>
      </c>
      <c r="B255" t="s">
        <v>389</v>
      </c>
      <c r="C255" t="s">
        <v>393</v>
      </c>
      <c r="D255" t="s">
        <v>397</v>
      </c>
      <c r="E255" t="s">
        <v>401</v>
      </c>
      <c r="F255" t="s">
        <v>404</v>
      </c>
      <c r="G255">
        <v>0</v>
      </c>
      <c r="H255">
        <v>18</v>
      </c>
    </row>
    <row r="256" spans="1:8" x14ac:dyDescent="0.35">
      <c r="A256" t="s">
        <v>264</v>
      </c>
      <c r="B256" t="s">
        <v>385</v>
      </c>
      <c r="C256" t="s">
        <v>390</v>
      </c>
      <c r="D256" t="s">
        <v>395</v>
      </c>
      <c r="E256" t="s">
        <v>400</v>
      </c>
      <c r="F256" t="s">
        <v>406</v>
      </c>
      <c r="G256">
        <v>20</v>
      </c>
      <c r="H256">
        <v>13</v>
      </c>
    </row>
    <row r="257" spans="1:8" x14ac:dyDescent="0.35">
      <c r="A257" t="s">
        <v>265</v>
      </c>
      <c r="B257" t="s">
        <v>389</v>
      </c>
      <c r="C257" t="s">
        <v>390</v>
      </c>
      <c r="D257" t="s">
        <v>395</v>
      </c>
      <c r="E257" t="s">
        <v>401</v>
      </c>
      <c r="F257" t="s">
        <v>404</v>
      </c>
      <c r="G257">
        <v>20</v>
      </c>
      <c r="H257">
        <v>6</v>
      </c>
    </row>
    <row r="258" spans="1:8" x14ac:dyDescent="0.35">
      <c r="A258" t="s">
        <v>266</v>
      </c>
      <c r="B258" t="s">
        <v>388</v>
      </c>
      <c r="C258" t="s">
        <v>391</v>
      </c>
      <c r="D258" t="s">
        <v>396</v>
      </c>
      <c r="E258" t="s">
        <v>401</v>
      </c>
      <c r="F258" t="s">
        <v>405</v>
      </c>
      <c r="G258">
        <v>50</v>
      </c>
      <c r="H258">
        <v>9</v>
      </c>
    </row>
    <row r="259" spans="1:8" x14ac:dyDescent="0.35">
      <c r="A259" t="s">
        <v>267</v>
      </c>
      <c r="B259" t="s">
        <v>389</v>
      </c>
      <c r="C259" t="s">
        <v>394</v>
      </c>
      <c r="D259" t="s">
        <v>397</v>
      </c>
      <c r="E259" t="s">
        <v>399</v>
      </c>
      <c r="F259" t="s">
        <v>404</v>
      </c>
      <c r="G259">
        <v>0</v>
      </c>
      <c r="H259">
        <v>1</v>
      </c>
    </row>
    <row r="260" spans="1:8" x14ac:dyDescent="0.35">
      <c r="A260" t="s">
        <v>268</v>
      </c>
      <c r="B260" t="s">
        <v>389</v>
      </c>
      <c r="C260" t="s">
        <v>394</v>
      </c>
      <c r="D260" t="s">
        <v>396</v>
      </c>
      <c r="E260" t="s">
        <v>401</v>
      </c>
      <c r="F260" t="s">
        <v>406</v>
      </c>
      <c r="G260">
        <v>50</v>
      </c>
      <c r="H260">
        <v>15</v>
      </c>
    </row>
    <row r="261" spans="1:8" x14ac:dyDescent="0.35">
      <c r="A261" t="s">
        <v>269</v>
      </c>
      <c r="B261" t="s">
        <v>385</v>
      </c>
      <c r="C261" t="s">
        <v>393</v>
      </c>
      <c r="D261" t="s">
        <v>395</v>
      </c>
      <c r="E261" t="s">
        <v>400</v>
      </c>
      <c r="F261" t="s">
        <v>403</v>
      </c>
      <c r="G261">
        <v>20</v>
      </c>
      <c r="H261">
        <v>2</v>
      </c>
    </row>
    <row r="262" spans="1:8" x14ac:dyDescent="0.35">
      <c r="A262" t="s">
        <v>270</v>
      </c>
      <c r="B262" t="s">
        <v>388</v>
      </c>
      <c r="C262" t="s">
        <v>391</v>
      </c>
      <c r="D262" t="s">
        <v>396</v>
      </c>
      <c r="E262" t="s">
        <v>398</v>
      </c>
      <c r="F262" t="s">
        <v>404</v>
      </c>
      <c r="G262">
        <v>50</v>
      </c>
      <c r="H262">
        <v>2</v>
      </c>
    </row>
    <row r="263" spans="1:8" x14ac:dyDescent="0.35">
      <c r="A263" t="s">
        <v>271</v>
      </c>
      <c r="B263" t="s">
        <v>387</v>
      </c>
      <c r="C263" t="s">
        <v>391</v>
      </c>
      <c r="D263" t="s">
        <v>397</v>
      </c>
      <c r="E263" t="s">
        <v>399</v>
      </c>
      <c r="F263" t="s">
        <v>406</v>
      </c>
      <c r="G263">
        <v>0</v>
      </c>
      <c r="H263">
        <v>12</v>
      </c>
    </row>
    <row r="264" spans="1:8" x14ac:dyDescent="0.35">
      <c r="A264" t="s">
        <v>272</v>
      </c>
      <c r="B264" t="s">
        <v>387</v>
      </c>
      <c r="C264" t="s">
        <v>393</v>
      </c>
      <c r="D264" t="s">
        <v>396</v>
      </c>
      <c r="E264" t="s">
        <v>401</v>
      </c>
      <c r="F264" t="s">
        <v>406</v>
      </c>
      <c r="G264">
        <v>50</v>
      </c>
      <c r="H264">
        <v>8</v>
      </c>
    </row>
    <row r="265" spans="1:8" x14ac:dyDescent="0.35">
      <c r="A265" t="s">
        <v>273</v>
      </c>
      <c r="B265" t="s">
        <v>387</v>
      </c>
      <c r="C265" t="s">
        <v>392</v>
      </c>
      <c r="D265" t="s">
        <v>397</v>
      </c>
      <c r="E265" t="s">
        <v>399</v>
      </c>
      <c r="F265" t="s">
        <v>404</v>
      </c>
      <c r="G265">
        <v>0</v>
      </c>
      <c r="H265">
        <v>7</v>
      </c>
    </row>
    <row r="266" spans="1:8" x14ac:dyDescent="0.35">
      <c r="A266" t="s">
        <v>274</v>
      </c>
      <c r="B266" t="s">
        <v>389</v>
      </c>
      <c r="C266" t="s">
        <v>390</v>
      </c>
      <c r="D266" t="s">
        <v>395</v>
      </c>
      <c r="E266" t="s">
        <v>400</v>
      </c>
      <c r="F266" t="s">
        <v>405</v>
      </c>
      <c r="G266">
        <v>20</v>
      </c>
      <c r="H266">
        <v>18</v>
      </c>
    </row>
    <row r="267" spans="1:8" x14ac:dyDescent="0.35">
      <c r="A267" t="s">
        <v>275</v>
      </c>
      <c r="B267" t="s">
        <v>389</v>
      </c>
      <c r="C267" t="s">
        <v>390</v>
      </c>
      <c r="D267" t="s">
        <v>395</v>
      </c>
      <c r="E267" t="s">
        <v>401</v>
      </c>
      <c r="F267" t="s">
        <v>406</v>
      </c>
      <c r="G267">
        <v>20</v>
      </c>
      <c r="H267">
        <v>7</v>
      </c>
    </row>
    <row r="268" spans="1:8" x14ac:dyDescent="0.35">
      <c r="A268" t="s">
        <v>276</v>
      </c>
      <c r="B268" t="s">
        <v>389</v>
      </c>
      <c r="C268" t="s">
        <v>391</v>
      </c>
      <c r="D268" t="s">
        <v>396</v>
      </c>
      <c r="E268" t="s">
        <v>400</v>
      </c>
      <c r="F268" t="s">
        <v>406</v>
      </c>
      <c r="G268">
        <v>50</v>
      </c>
      <c r="H268">
        <v>14</v>
      </c>
    </row>
    <row r="269" spans="1:8" x14ac:dyDescent="0.35">
      <c r="A269" t="s">
        <v>277</v>
      </c>
      <c r="B269" t="s">
        <v>387</v>
      </c>
      <c r="C269" t="s">
        <v>390</v>
      </c>
      <c r="D269" t="s">
        <v>395</v>
      </c>
      <c r="E269" t="s">
        <v>398</v>
      </c>
      <c r="F269" t="s">
        <v>405</v>
      </c>
      <c r="G269">
        <v>20</v>
      </c>
      <c r="H269">
        <v>7</v>
      </c>
    </row>
    <row r="270" spans="1:8" x14ac:dyDescent="0.35">
      <c r="A270" t="s">
        <v>278</v>
      </c>
      <c r="B270" t="s">
        <v>388</v>
      </c>
      <c r="C270" t="s">
        <v>394</v>
      </c>
      <c r="D270" t="s">
        <v>397</v>
      </c>
      <c r="E270" t="s">
        <v>398</v>
      </c>
      <c r="F270" t="s">
        <v>404</v>
      </c>
      <c r="G270">
        <v>0</v>
      </c>
      <c r="H270">
        <v>6</v>
      </c>
    </row>
    <row r="271" spans="1:8" x14ac:dyDescent="0.35">
      <c r="A271" t="s">
        <v>279</v>
      </c>
      <c r="B271" t="s">
        <v>388</v>
      </c>
      <c r="C271" t="s">
        <v>390</v>
      </c>
      <c r="D271" t="s">
        <v>395</v>
      </c>
      <c r="E271" t="s">
        <v>399</v>
      </c>
      <c r="F271" t="s">
        <v>402</v>
      </c>
      <c r="G271">
        <v>20</v>
      </c>
      <c r="H271">
        <v>0</v>
      </c>
    </row>
    <row r="272" spans="1:8" x14ac:dyDescent="0.35">
      <c r="A272" t="s">
        <v>280</v>
      </c>
      <c r="B272" t="s">
        <v>386</v>
      </c>
      <c r="C272" t="s">
        <v>392</v>
      </c>
      <c r="D272" t="s">
        <v>395</v>
      </c>
      <c r="E272" t="s">
        <v>399</v>
      </c>
      <c r="F272" t="s">
        <v>403</v>
      </c>
      <c r="G272">
        <v>20</v>
      </c>
      <c r="H272">
        <v>16</v>
      </c>
    </row>
    <row r="273" spans="1:8" x14ac:dyDescent="0.35">
      <c r="A273" t="s">
        <v>281</v>
      </c>
      <c r="B273" t="s">
        <v>385</v>
      </c>
      <c r="C273" t="s">
        <v>390</v>
      </c>
      <c r="D273" t="s">
        <v>396</v>
      </c>
      <c r="E273" t="s">
        <v>401</v>
      </c>
      <c r="F273" t="s">
        <v>403</v>
      </c>
      <c r="G273">
        <v>50</v>
      </c>
      <c r="H273">
        <v>7</v>
      </c>
    </row>
    <row r="274" spans="1:8" x14ac:dyDescent="0.35">
      <c r="A274" t="s">
        <v>282</v>
      </c>
      <c r="B274" t="s">
        <v>386</v>
      </c>
      <c r="C274" t="s">
        <v>391</v>
      </c>
      <c r="D274" t="s">
        <v>396</v>
      </c>
      <c r="E274" t="s">
        <v>398</v>
      </c>
      <c r="F274" t="s">
        <v>402</v>
      </c>
      <c r="G274">
        <v>50</v>
      </c>
      <c r="H274">
        <v>14</v>
      </c>
    </row>
    <row r="275" spans="1:8" x14ac:dyDescent="0.35">
      <c r="A275" t="s">
        <v>283</v>
      </c>
      <c r="B275" t="s">
        <v>388</v>
      </c>
      <c r="C275" t="s">
        <v>393</v>
      </c>
      <c r="D275" t="s">
        <v>395</v>
      </c>
      <c r="E275" t="s">
        <v>399</v>
      </c>
      <c r="F275" t="s">
        <v>404</v>
      </c>
      <c r="G275">
        <v>20</v>
      </c>
      <c r="H275">
        <v>6</v>
      </c>
    </row>
    <row r="276" spans="1:8" x14ac:dyDescent="0.35">
      <c r="A276" t="s">
        <v>284</v>
      </c>
      <c r="B276" t="s">
        <v>389</v>
      </c>
      <c r="C276" t="s">
        <v>394</v>
      </c>
      <c r="D276" t="s">
        <v>395</v>
      </c>
      <c r="E276" t="s">
        <v>399</v>
      </c>
      <c r="F276" t="s">
        <v>406</v>
      </c>
      <c r="G276">
        <v>20</v>
      </c>
      <c r="H276">
        <v>12</v>
      </c>
    </row>
    <row r="277" spans="1:8" x14ac:dyDescent="0.35">
      <c r="A277" t="s">
        <v>285</v>
      </c>
      <c r="B277" t="s">
        <v>388</v>
      </c>
      <c r="C277" t="s">
        <v>394</v>
      </c>
      <c r="D277" t="s">
        <v>396</v>
      </c>
      <c r="E277" t="s">
        <v>398</v>
      </c>
      <c r="F277" t="s">
        <v>402</v>
      </c>
      <c r="G277">
        <v>50</v>
      </c>
      <c r="H277">
        <v>5</v>
      </c>
    </row>
    <row r="278" spans="1:8" x14ac:dyDescent="0.35">
      <c r="A278" t="s">
        <v>286</v>
      </c>
      <c r="B278" t="s">
        <v>387</v>
      </c>
      <c r="C278" t="s">
        <v>391</v>
      </c>
      <c r="D278" t="s">
        <v>396</v>
      </c>
      <c r="E278" t="s">
        <v>401</v>
      </c>
      <c r="F278" t="s">
        <v>403</v>
      </c>
      <c r="G278">
        <v>50</v>
      </c>
      <c r="H278">
        <v>18</v>
      </c>
    </row>
    <row r="279" spans="1:8" x14ac:dyDescent="0.35">
      <c r="A279" t="s">
        <v>287</v>
      </c>
      <c r="B279" t="s">
        <v>386</v>
      </c>
      <c r="C279" t="s">
        <v>394</v>
      </c>
      <c r="D279" t="s">
        <v>395</v>
      </c>
      <c r="E279" t="s">
        <v>398</v>
      </c>
      <c r="F279" t="s">
        <v>405</v>
      </c>
      <c r="G279">
        <v>20</v>
      </c>
      <c r="H279">
        <v>16</v>
      </c>
    </row>
    <row r="280" spans="1:8" x14ac:dyDescent="0.35">
      <c r="A280" t="s">
        <v>288</v>
      </c>
      <c r="B280" t="s">
        <v>387</v>
      </c>
      <c r="C280" t="s">
        <v>394</v>
      </c>
      <c r="D280" t="s">
        <v>396</v>
      </c>
      <c r="E280" t="s">
        <v>399</v>
      </c>
      <c r="F280" t="s">
        <v>404</v>
      </c>
      <c r="G280">
        <v>50</v>
      </c>
      <c r="H280">
        <v>1</v>
      </c>
    </row>
    <row r="281" spans="1:8" x14ac:dyDescent="0.35">
      <c r="A281" t="s">
        <v>289</v>
      </c>
      <c r="B281" t="s">
        <v>389</v>
      </c>
      <c r="C281" t="s">
        <v>390</v>
      </c>
      <c r="D281" t="s">
        <v>397</v>
      </c>
      <c r="E281" t="s">
        <v>398</v>
      </c>
      <c r="F281" t="s">
        <v>403</v>
      </c>
      <c r="G281">
        <v>0</v>
      </c>
      <c r="H281">
        <v>6</v>
      </c>
    </row>
    <row r="282" spans="1:8" x14ac:dyDescent="0.35">
      <c r="A282" t="s">
        <v>290</v>
      </c>
      <c r="B282" t="s">
        <v>385</v>
      </c>
      <c r="C282" t="s">
        <v>393</v>
      </c>
      <c r="D282" t="s">
        <v>397</v>
      </c>
      <c r="E282" t="s">
        <v>400</v>
      </c>
      <c r="F282" t="s">
        <v>402</v>
      </c>
      <c r="G282">
        <v>0</v>
      </c>
      <c r="H282">
        <v>11</v>
      </c>
    </row>
    <row r="283" spans="1:8" x14ac:dyDescent="0.35">
      <c r="A283" t="s">
        <v>291</v>
      </c>
      <c r="B283" t="s">
        <v>386</v>
      </c>
      <c r="C283" t="s">
        <v>394</v>
      </c>
      <c r="D283" t="s">
        <v>395</v>
      </c>
      <c r="E283" t="s">
        <v>400</v>
      </c>
      <c r="F283" t="s">
        <v>405</v>
      </c>
      <c r="G283">
        <v>20</v>
      </c>
      <c r="H283">
        <v>9</v>
      </c>
    </row>
    <row r="284" spans="1:8" x14ac:dyDescent="0.35">
      <c r="A284" t="s">
        <v>292</v>
      </c>
      <c r="B284" t="s">
        <v>389</v>
      </c>
      <c r="C284" t="s">
        <v>390</v>
      </c>
      <c r="D284" t="s">
        <v>397</v>
      </c>
      <c r="E284" t="s">
        <v>401</v>
      </c>
      <c r="F284" t="s">
        <v>404</v>
      </c>
      <c r="G284">
        <v>0</v>
      </c>
      <c r="H284">
        <v>12</v>
      </c>
    </row>
    <row r="285" spans="1:8" x14ac:dyDescent="0.35">
      <c r="A285" t="s">
        <v>293</v>
      </c>
      <c r="B285" t="s">
        <v>387</v>
      </c>
      <c r="C285" t="s">
        <v>391</v>
      </c>
      <c r="D285" t="s">
        <v>395</v>
      </c>
      <c r="E285" t="s">
        <v>400</v>
      </c>
      <c r="F285" t="s">
        <v>406</v>
      </c>
      <c r="G285">
        <v>20</v>
      </c>
      <c r="H285">
        <v>12</v>
      </c>
    </row>
    <row r="286" spans="1:8" x14ac:dyDescent="0.35">
      <c r="A286" t="s">
        <v>294</v>
      </c>
      <c r="B286" t="s">
        <v>387</v>
      </c>
      <c r="C286" t="s">
        <v>391</v>
      </c>
      <c r="D286" t="s">
        <v>395</v>
      </c>
      <c r="E286" t="s">
        <v>400</v>
      </c>
      <c r="F286" t="s">
        <v>402</v>
      </c>
      <c r="G286">
        <v>20</v>
      </c>
      <c r="H286">
        <v>9</v>
      </c>
    </row>
    <row r="287" spans="1:8" x14ac:dyDescent="0.35">
      <c r="A287" t="s">
        <v>295</v>
      </c>
      <c r="B287" t="s">
        <v>386</v>
      </c>
      <c r="C287" t="s">
        <v>393</v>
      </c>
      <c r="D287" t="s">
        <v>395</v>
      </c>
      <c r="E287" t="s">
        <v>400</v>
      </c>
      <c r="F287" t="s">
        <v>405</v>
      </c>
      <c r="G287">
        <v>20</v>
      </c>
      <c r="H287">
        <v>4</v>
      </c>
    </row>
    <row r="288" spans="1:8" x14ac:dyDescent="0.35">
      <c r="A288" t="s">
        <v>296</v>
      </c>
      <c r="B288" t="s">
        <v>386</v>
      </c>
      <c r="C288" t="s">
        <v>390</v>
      </c>
      <c r="D288" t="s">
        <v>395</v>
      </c>
      <c r="E288" t="s">
        <v>398</v>
      </c>
      <c r="F288" t="s">
        <v>406</v>
      </c>
      <c r="G288">
        <v>20</v>
      </c>
      <c r="H288">
        <v>16</v>
      </c>
    </row>
    <row r="289" spans="1:8" x14ac:dyDescent="0.35">
      <c r="A289" t="s">
        <v>297</v>
      </c>
      <c r="B289" t="s">
        <v>385</v>
      </c>
      <c r="C289" t="s">
        <v>390</v>
      </c>
      <c r="D289" t="s">
        <v>396</v>
      </c>
      <c r="E289" t="s">
        <v>398</v>
      </c>
      <c r="F289" t="s">
        <v>403</v>
      </c>
      <c r="G289">
        <v>50</v>
      </c>
      <c r="H289">
        <v>10</v>
      </c>
    </row>
    <row r="290" spans="1:8" x14ac:dyDescent="0.35">
      <c r="A290" t="s">
        <v>298</v>
      </c>
      <c r="B290" t="s">
        <v>388</v>
      </c>
      <c r="C290" t="s">
        <v>394</v>
      </c>
      <c r="D290" t="s">
        <v>396</v>
      </c>
      <c r="E290" t="s">
        <v>399</v>
      </c>
      <c r="F290" t="s">
        <v>403</v>
      </c>
      <c r="G290">
        <v>50</v>
      </c>
      <c r="H290">
        <v>6</v>
      </c>
    </row>
    <row r="291" spans="1:8" x14ac:dyDescent="0.35">
      <c r="A291" t="s">
        <v>299</v>
      </c>
      <c r="B291" t="s">
        <v>385</v>
      </c>
      <c r="C291" t="s">
        <v>391</v>
      </c>
      <c r="D291" t="s">
        <v>395</v>
      </c>
      <c r="E291" t="s">
        <v>400</v>
      </c>
      <c r="F291" t="s">
        <v>403</v>
      </c>
      <c r="G291">
        <v>20</v>
      </c>
      <c r="H291">
        <v>6</v>
      </c>
    </row>
    <row r="292" spans="1:8" x14ac:dyDescent="0.35">
      <c r="A292" t="s">
        <v>300</v>
      </c>
      <c r="B292" t="s">
        <v>388</v>
      </c>
      <c r="C292" t="s">
        <v>394</v>
      </c>
      <c r="D292" t="s">
        <v>397</v>
      </c>
      <c r="E292" t="s">
        <v>401</v>
      </c>
      <c r="F292" t="s">
        <v>405</v>
      </c>
      <c r="G292">
        <v>0</v>
      </c>
      <c r="H292">
        <v>11</v>
      </c>
    </row>
    <row r="293" spans="1:8" x14ac:dyDescent="0.35">
      <c r="A293" t="s">
        <v>301</v>
      </c>
      <c r="B293" t="s">
        <v>389</v>
      </c>
      <c r="C293" t="s">
        <v>393</v>
      </c>
      <c r="D293" t="s">
        <v>397</v>
      </c>
      <c r="E293" t="s">
        <v>400</v>
      </c>
      <c r="F293" t="s">
        <v>402</v>
      </c>
      <c r="G293">
        <v>0</v>
      </c>
      <c r="H293">
        <v>14</v>
      </c>
    </row>
    <row r="294" spans="1:8" x14ac:dyDescent="0.35">
      <c r="A294" t="s">
        <v>302</v>
      </c>
      <c r="B294" t="s">
        <v>389</v>
      </c>
      <c r="C294" t="s">
        <v>393</v>
      </c>
      <c r="D294" t="s">
        <v>397</v>
      </c>
      <c r="E294" t="s">
        <v>398</v>
      </c>
      <c r="F294" t="s">
        <v>406</v>
      </c>
      <c r="G294">
        <v>0</v>
      </c>
      <c r="H294">
        <v>1</v>
      </c>
    </row>
    <row r="295" spans="1:8" x14ac:dyDescent="0.35">
      <c r="A295" t="s">
        <v>303</v>
      </c>
      <c r="B295" t="s">
        <v>387</v>
      </c>
      <c r="C295" t="s">
        <v>391</v>
      </c>
      <c r="D295" t="s">
        <v>397</v>
      </c>
      <c r="E295" t="s">
        <v>401</v>
      </c>
      <c r="F295" t="s">
        <v>403</v>
      </c>
      <c r="G295">
        <v>0</v>
      </c>
      <c r="H295">
        <v>16</v>
      </c>
    </row>
    <row r="296" spans="1:8" x14ac:dyDescent="0.35">
      <c r="A296" t="s">
        <v>304</v>
      </c>
      <c r="B296" t="s">
        <v>386</v>
      </c>
      <c r="C296" t="s">
        <v>393</v>
      </c>
      <c r="D296" t="s">
        <v>396</v>
      </c>
      <c r="E296" t="s">
        <v>399</v>
      </c>
      <c r="F296" t="s">
        <v>405</v>
      </c>
      <c r="G296">
        <v>50</v>
      </c>
      <c r="H296">
        <v>7</v>
      </c>
    </row>
    <row r="297" spans="1:8" x14ac:dyDescent="0.35">
      <c r="A297" t="s">
        <v>305</v>
      </c>
      <c r="B297" t="s">
        <v>387</v>
      </c>
      <c r="C297" t="s">
        <v>392</v>
      </c>
      <c r="D297" t="s">
        <v>395</v>
      </c>
      <c r="E297" t="s">
        <v>399</v>
      </c>
      <c r="F297" t="s">
        <v>405</v>
      </c>
      <c r="G297">
        <v>20</v>
      </c>
      <c r="H297">
        <v>14</v>
      </c>
    </row>
    <row r="298" spans="1:8" x14ac:dyDescent="0.35">
      <c r="A298" t="s">
        <v>306</v>
      </c>
      <c r="B298" t="s">
        <v>386</v>
      </c>
      <c r="C298" t="s">
        <v>390</v>
      </c>
      <c r="D298" t="s">
        <v>397</v>
      </c>
      <c r="E298" t="s">
        <v>399</v>
      </c>
      <c r="F298" t="s">
        <v>406</v>
      </c>
      <c r="G298">
        <v>0</v>
      </c>
      <c r="H298">
        <v>13</v>
      </c>
    </row>
    <row r="299" spans="1:8" x14ac:dyDescent="0.35">
      <c r="A299" t="s">
        <v>307</v>
      </c>
      <c r="B299" t="s">
        <v>387</v>
      </c>
      <c r="C299" t="s">
        <v>394</v>
      </c>
      <c r="D299" t="s">
        <v>396</v>
      </c>
      <c r="E299" t="s">
        <v>399</v>
      </c>
      <c r="F299" t="s">
        <v>406</v>
      </c>
      <c r="G299">
        <v>50</v>
      </c>
      <c r="H299">
        <v>18</v>
      </c>
    </row>
    <row r="300" spans="1:8" x14ac:dyDescent="0.35">
      <c r="A300" t="s">
        <v>308</v>
      </c>
      <c r="B300" t="s">
        <v>387</v>
      </c>
      <c r="C300" t="s">
        <v>392</v>
      </c>
      <c r="D300" t="s">
        <v>395</v>
      </c>
      <c r="E300" t="s">
        <v>401</v>
      </c>
      <c r="F300" t="s">
        <v>403</v>
      </c>
      <c r="G300">
        <v>20</v>
      </c>
      <c r="H300">
        <v>10</v>
      </c>
    </row>
    <row r="301" spans="1:8" x14ac:dyDescent="0.35">
      <c r="A301" t="s">
        <v>309</v>
      </c>
      <c r="B301" t="s">
        <v>385</v>
      </c>
      <c r="C301" t="s">
        <v>391</v>
      </c>
      <c r="D301" t="s">
        <v>395</v>
      </c>
      <c r="E301" t="s">
        <v>401</v>
      </c>
      <c r="F301" t="s">
        <v>404</v>
      </c>
      <c r="G301">
        <v>20</v>
      </c>
      <c r="H301">
        <v>17</v>
      </c>
    </row>
    <row r="302" spans="1:8" x14ac:dyDescent="0.35">
      <c r="A302" t="s">
        <v>310</v>
      </c>
      <c r="B302" t="s">
        <v>388</v>
      </c>
      <c r="C302" t="s">
        <v>390</v>
      </c>
      <c r="D302" t="s">
        <v>395</v>
      </c>
      <c r="E302" t="s">
        <v>398</v>
      </c>
      <c r="F302" t="s">
        <v>404</v>
      </c>
      <c r="G302">
        <v>20</v>
      </c>
      <c r="H302">
        <v>20</v>
      </c>
    </row>
    <row r="303" spans="1:8" x14ac:dyDescent="0.35">
      <c r="A303" t="s">
        <v>311</v>
      </c>
      <c r="B303" t="s">
        <v>386</v>
      </c>
      <c r="C303" t="s">
        <v>391</v>
      </c>
      <c r="D303" t="s">
        <v>396</v>
      </c>
      <c r="E303" t="s">
        <v>398</v>
      </c>
      <c r="F303" t="s">
        <v>406</v>
      </c>
      <c r="G303">
        <v>50</v>
      </c>
      <c r="H303">
        <v>4</v>
      </c>
    </row>
    <row r="304" spans="1:8" x14ac:dyDescent="0.35">
      <c r="A304" t="s">
        <v>312</v>
      </c>
      <c r="B304" t="s">
        <v>389</v>
      </c>
      <c r="C304" t="s">
        <v>392</v>
      </c>
      <c r="D304" t="s">
        <v>396</v>
      </c>
      <c r="E304" t="s">
        <v>398</v>
      </c>
      <c r="F304" t="s">
        <v>404</v>
      </c>
      <c r="G304">
        <v>50</v>
      </c>
      <c r="H304">
        <v>18</v>
      </c>
    </row>
    <row r="305" spans="1:8" x14ac:dyDescent="0.35">
      <c r="A305" t="s">
        <v>313</v>
      </c>
      <c r="B305" t="s">
        <v>388</v>
      </c>
      <c r="C305" t="s">
        <v>393</v>
      </c>
      <c r="D305" t="s">
        <v>396</v>
      </c>
      <c r="E305" t="s">
        <v>400</v>
      </c>
      <c r="F305" t="s">
        <v>405</v>
      </c>
      <c r="G305">
        <v>50</v>
      </c>
      <c r="H305">
        <v>11</v>
      </c>
    </row>
    <row r="306" spans="1:8" x14ac:dyDescent="0.35">
      <c r="A306" t="s">
        <v>314</v>
      </c>
      <c r="B306" t="s">
        <v>389</v>
      </c>
      <c r="C306" t="s">
        <v>393</v>
      </c>
      <c r="D306" t="s">
        <v>397</v>
      </c>
      <c r="E306" t="s">
        <v>401</v>
      </c>
      <c r="F306" t="s">
        <v>405</v>
      </c>
      <c r="G306">
        <v>0</v>
      </c>
      <c r="H306">
        <v>3</v>
      </c>
    </row>
    <row r="307" spans="1:8" x14ac:dyDescent="0.35">
      <c r="A307" t="s">
        <v>315</v>
      </c>
      <c r="B307" t="s">
        <v>388</v>
      </c>
      <c r="C307" t="s">
        <v>394</v>
      </c>
      <c r="D307" t="s">
        <v>395</v>
      </c>
      <c r="E307" t="s">
        <v>400</v>
      </c>
      <c r="F307" t="s">
        <v>403</v>
      </c>
      <c r="G307">
        <v>20</v>
      </c>
      <c r="H307">
        <v>20</v>
      </c>
    </row>
    <row r="308" spans="1:8" x14ac:dyDescent="0.35">
      <c r="A308" t="s">
        <v>316</v>
      </c>
      <c r="B308" t="s">
        <v>389</v>
      </c>
      <c r="C308" t="s">
        <v>392</v>
      </c>
      <c r="D308" t="s">
        <v>395</v>
      </c>
      <c r="E308" t="s">
        <v>400</v>
      </c>
      <c r="F308" t="s">
        <v>406</v>
      </c>
      <c r="G308">
        <v>20</v>
      </c>
      <c r="H308">
        <v>10</v>
      </c>
    </row>
    <row r="309" spans="1:8" x14ac:dyDescent="0.35">
      <c r="A309" t="s">
        <v>317</v>
      </c>
      <c r="B309" t="s">
        <v>386</v>
      </c>
      <c r="C309" t="s">
        <v>393</v>
      </c>
      <c r="D309" t="s">
        <v>396</v>
      </c>
      <c r="E309" t="s">
        <v>400</v>
      </c>
      <c r="F309" t="s">
        <v>402</v>
      </c>
      <c r="G309">
        <v>50</v>
      </c>
      <c r="H309">
        <v>13</v>
      </c>
    </row>
    <row r="310" spans="1:8" x14ac:dyDescent="0.35">
      <c r="A310" t="s">
        <v>318</v>
      </c>
      <c r="B310" t="s">
        <v>385</v>
      </c>
      <c r="C310" t="s">
        <v>394</v>
      </c>
      <c r="D310" t="s">
        <v>395</v>
      </c>
      <c r="E310" t="s">
        <v>400</v>
      </c>
      <c r="F310" t="s">
        <v>406</v>
      </c>
      <c r="G310">
        <v>20</v>
      </c>
      <c r="H310">
        <v>6</v>
      </c>
    </row>
    <row r="311" spans="1:8" x14ac:dyDescent="0.35">
      <c r="A311" t="s">
        <v>319</v>
      </c>
      <c r="B311" t="s">
        <v>389</v>
      </c>
      <c r="C311" t="s">
        <v>393</v>
      </c>
      <c r="D311" t="s">
        <v>396</v>
      </c>
      <c r="E311" t="s">
        <v>400</v>
      </c>
      <c r="F311" t="s">
        <v>403</v>
      </c>
      <c r="G311">
        <v>50</v>
      </c>
      <c r="H311">
        <v>14</v>
      </c>
    </row>
    <row r="312" spans="1:8" x14ac:dyDescent="0.35">
      <c r="A312" t="s">
        <v>320</v>
      </c>
      <c r="B312" t="s">
        <v>385</v>
      </c>
      <c r="C312" t="s">
        <v>394</v>
      </c>
      <c r="D312" t="s">
        <v>396</v>
      </c>
      <c r="E312" t="s">
        <v>398</v>
      </c>
      <c r="F312" t="s">
        <v>404</v>
      </c>
      <c r="G312">
        <v>50</v>
      </c>
      <c r="H312">
        <v>4</v>
      </c>
    </row>
    <row r="313" spans="1:8" x14ac:dyDescent="0.35">
      <c r="A313" t="s">
        <v>321</v>
      </c>
      <c r="B313" t="s">
        <v>387</v>
      </c>
      <c r="C313" t="s">
        <v>391</v>
      </c>
      <c r="D313" t="s">
        <v>396</v>
      </c>
      <c r="E313" t="s">
        <v>398</v>
      </c>
      <c r="F313" t="s">
        <v>406</v>
      </c>
      <c r="G313">
        <v>50</v>
      </c>
      <c r="H313">
        <v>8</v>
      </c>
    </row>
    <row r="314" spans="1:8" x14ac:dyDescent="0.35">
      <c r="A314" t="s">
        <v>322</v>
      </c>
      <c r="B314" t="s">
        <v>386</v>
      </c>
      <c r="C314" t="s">
        <v>391</v>
      </c>
      <c r="D314" t="s">
        <v>397</v>
      </c>
      <c r="E314" t="s">
        <v>398</v>
      </c>
      <c r="F314" t="s">
        <v>406</v>
      </c>
      <c r="G314">
        <v>0</v>
      </c>
      <c r="H314">
        <v>17</v>
      </c>
    </row>
    <row r="315" spans="1:8" x14ac:dyDescent="0.35">
      <c r="A315" t="s">
        <v>323</v>
      </c>
      <c r="B315" t="s">
        <v>389</v>
      </c>
      <c r="C315" t="s">
        <v>394</v>
      </c>
      <c r="D315" t="s">
        <v>395</v>
      </c>
      <c r="E315" t="s">
        <v>400</v>
      </c>
      <c r="F315" t="s">
        <v>405</v>
      </c>
      <c r="G315">
        <v>20</v>
      </c>
      <c r="H315">
        <v>4</v>
      </c>
    </row>
    <row r="316" spans="1:8" x14ac:dyDescent="0.35">
      <c r="A316" t="s">
        <v>324</v>
      </c>
      <c r="B316" t="s">
        <v>389</v>
      </c>
      <c r="C316" t="s">
        <v>393</v>
      </c>
      <c r="D316" t="s">
        <v>395</v>
      </c>
      <c r="E316" t="s">
        <v>398</v>
      </c>
      <c r="F316" t="s">
        <v>405</v>
      </c>
      <c r="G316">
        <v>20</v>
      </c>
      <c r="H316">
        <v>18</v>
      </c>
    </row>
    <row r="317" spans="1:8" x14ac:dyDescent="0.35">
      <c r="A317" t="s">
        <v>325</v>
      </c>
      <c r="B317" t="s">
        <v>385</v>
      </c>
      <c r="C317" t="s">
        <v>394</v>
      </c>
      <c r="D317" t="s">
        <v>397</v>
      </c>
      <c r="E317" t="s">
        <v>400</v>
      </c>
      <c r="F317" t="s">
        <v>405</v>
      </c>
      <c r="G317">
        <v>0</v>
      </c>
      <c r="H317">
        <v>13</v>
      </c>
    </row>
    <row r="318" spans="1:8" x14ac:dyDescent="0.35">
      <c r="A318" t="s">
        <v>326</v>
      </c>
      <c r="B318" t="s">
        <v>386</v>
      </c>
      <c r="C318" t="s">
        <v>391</v>
      </c>
      <c r="D318" t="s">
        <v>397</v>
      </c>
      <c r="E318" t="s">
        <v>399</v>
      </c>
      <c r="F318" t="s">
        <v>406</v>
      </c>
      <c r="G318">
        <v>0</v>
      </c>
      <c r="H318">
        <v>15</v>
      </c>
    </row>
    <row r="319" spans="1:8" x14ac:dyDescent="0.35">
      <c r="A319" t="s">
        <v>327</v>
      </c>
      <c r="B319" t="s">
        <v>388</v>
      </c>
      <c r="C319" t="s">
        <v>394</v>
      </c>
      <c r="D319" t="s">
        <v>396</v>
      </c>
      <c r="E319" t="s">
        <v>399</v>
      </c>
      <c r="F319" t="s">
        <v>405</v>
      </c>
      <c r="G319">
        <v>50</v>
      </c>
      <c r="H319">
        <v>13</v>
      </c>
    </row>
    <row r="320" spans="1:8" x14ac:dyDescent="0.35">
      <c r="A320" t="s">
        <v>328</v>
      </c>
      <c r="B320" t="s">
        <v>388</v>
      </c>
      <c r="C320" t="s">
        <v>392</v>
      </c>
      <c r="D320" t="s">
        <v>395</v>
      </c>
      <c r="E320" t="s">
        <v>400</v>
      </c>
      <c r="F320" t="s">
        <v>405</v>
      </c>
      <c r="G320">
        <v>20</v>
      </c>
      <c r="H320">
        <v>8</v>
      </c>
    </row>
    <row r="321" spans="1:8" x14ac:dyDescent="0.35">
      <c r="A321" t="s">
        <v>329</v>
      </c>
      <c r="B321" t="s">
        <v>387</v>
      </c>
      <c r="C321" t="s">
        <v>393</v>
      </c>
      <c r="D321" t="s">
        <v>397</v>
      </c>
      <c r="E321" t="s">
        <v>401</v>
      </c>
      <c r="F321" t="s">
        <v>402</v>
      </c>
      <c r="G321">
        <v>0</v>
      </c>
      <c r="H321">
        <v>20</v>
      </c>
    </row>
    <row r="322" spans="1:8" x14ac:dyDescent="0.35">
      <c r="A322" t="s">
        <v>330</v>
      </c>
      <c r="B322" t="s">
        <v>385</v>
      </c>
      <c r="C322" t="s">
        <v>390</v>
      </c>
      <c r="D322" t="s">
        <v>395</v>
      </c>
      <c r="E322" t="s">
        <v>398</v>
      </c>
      <c r="F322" t="s">
        <v>405</v>
      </c>
      <c r="G322">
        <v>20</v>
      </c>
      <c r="H322">
        <v>17</v>
      </c>
    </row>
    <row r="323" spans="1:8" x14ac:dyDescent="0.35">
      <c r="A323" t="s">
        <v>331</v>
      </c>
      <c r="B323" t="s">
        <v>387</v>
      </c>
      <c r="C323" t="s">
        <v>393</v>
      </c>
      <c r="D323" t="s">
        <v>397</v>
      </c>
      <c r="E323" t="s">
        <v>399</v>
      </c>
      <c r="F323" t="s">
        <v>403</v>
      </c>
      <c r="G323">
        <v>0</v>
      </c>
      <c r="H323">
        <v>5</v>
      </c>
    </row>
    <row r="324" spans="1:8" x14ac:dyDescent="0.35">
      <c r="A324" t="s">
        <v>332</v>
      </c>
      <c r="B324" t="s">
        <v>386</v>
      </c>
      <c r="C324" t="s">
        <v>393</v>
      </c>
      <c r="D324" t="s">
        <v>397</v>
      </c>
      <c r="E324" t="s">
        <v>398</v>
      </c>
      <c r="F324" t="s">
        <v>402</v>
      </c>
      <c r="G324">
        <v>0</v>
      </c>
      <c r="H324">
        <v>12</v>
      </c>
    </row>
    <row r="325" spans="1:8" x14ac:dyDescent="0.35">
      <c r="A325" t="s">
        <v>333</v>
      </c>
      <c r="B325" t="s">
        <v>389</v>
      </c>
      <c r="C325" t="s">
        <v>393</v>
      </c>
      <c r="D325" t="s">
        <v>397</v>
      </c>
      <c r="E325" t="s">
        <v>401</v>
      </c>
      <c r="F325" t="s">
        <v>406</v>
      </c>
      <c r="G325">
        <v>0</v>
      </c>
      <c r="H325">
        <v>19</v>
      </c>
    </row>
    <row r="326" spans="1:8" x14ac:dyDescent="0.35">
      <c r="A326" t="s">
        <v>334</v>
      </c>
      <c r="B326" t="s">
        <v>385</v>
      </c>
      <c r="C326" t="s">
        <v>392</v>
      </c>
      <c r="D326" t="s">
        <v>396</v>
      </c>
      <c r="E326" t="s">
        <v>398</v>
      </c>
      <c r="F326" t="s">
        <v>406</v>
      </c>
      <c r="G326">
        <v>50</v>
      </c>
      <c r="H326">
        <v>17</v>
      </c>
    </row>
    <row r="327" spans="1:8" x14ac:dyDescent="0.35">
      <c r="A327" t="s">
        <v>335</v>
      </c>
      <c r="B327" t="s">
        <v>388</v>
      </c>
      <c r="C327" t="s">
        <v>391</v>
      </c>
      <c r="D327" t="s">
        <v>397</v>
      </c>
      <c r="E327" t="s">
        <v>401</v>
      </c>
      <c r="F327" t="s">
        <v>402</v>
      </c>
      <c r="G327">
        <v>0</v>
      </c>
      <c r="H327">
        <v>3</v>
      </c>
    </row>
    <row r="328" spans="1:8" x14ac:dyDescent="0.35">
      <c r="A328" t="s">
        <v>336</v>
      </c>
      <c r="B328" t="s">
        <v>389</v>
      </c>
      <c r="C328" t="s">
        <v>391</v>
      </c>
      <c r="D328" t="s">
        <v>397</v>
      </c>
      <c r="E328" t="s">
        <v>401</v>
      </c>
      <c r="F328" t="s">
        <v>405</v>
      </c>
      <c r="G328">
        <v>0</v>
      </c>
      <c r="H328">
        <v>5</v>
      </c>
    </row>
    <row r="329" spans="1:8" x14ac:dyDescent="0.35">
      <c r="A329" t="s">
        <v>337</v>
      </c>
      <c r="B329" t="s">
        <v>388</v>
      </c>
      <c r="C329" t="s">
        <v>394</v>
      </c>
      <c r="D329" t="s">
        <v>397</v>
      </c>
      <c r="E329" t="s">
        <v>398</v>
      </c>
      <c r="F329" t="s">
        <v>405</v>
      </c>
      <c r="G329">
        <v>0</v>
      </c>
      <c r="H329">
        <v>7</v>
      </c>
    </row>
    <row r="330" spans="1:8" x14ac:dyDescent="0.35">
      <c r="A330" t="s">
        <v>338</v>
      </c>
      <c r="B330" t="s">
        <v>387</v>
      </c>
      <c r="C330" t="s">
        <v>394</v>
      </c>
      <c r="D330" t="s">
        <v>397</v>
      </c>
      <c r="E330" t="s">
        <v>399</v>
      </c>
      <c r="F330" t="s">
        <v>406</v>
      </c>
      <c r="G330">
        <v>0</v>
      </c>
      <c r="H330">
        <v>19</v>
      </c>
    </row>
    <row r="331" spans="1:8" x14ac:dyDescent="0.35">
      <c r="A331" t="s">
        <v>339</v>
      </c>
      <c r="B331" t="s">
        <v>387</v>
      </c>
      <c r="C331" t="s">
        <v>390</v>
      </c>
      <c r="D331" t="s">
        <v>395</v>
      </c>
      <c r="E331" t="s">
        <v>400</v>
      </c>
      <c r="F331" t="s">
        <v>403</v>
      </c>
      <c r="G331">
        <v>20</v>
      </c>
      <c r="H331">
        <v>15</v>
      </c>
    </row>
    <row r="332" spans="1:8" x14ac:dyDescent="0.35">
      <c r="A332" t="s">
        <v>340</v>
      </c>
      <c r="B332" t="s">
        <v>386</v>
      </c>
      <c r="C332" t="s">
        <v>394</v>
      </c>
      <c r="D332" t="s">
        <v>396</v>
      </c>
      <c r="E332" t="s">
        <v>400</v>
      </c>
      <c r="F332" t="s">
        <v>405</v>
      </c>
      <c r="G332">
        <v>50</v>
      </c>
      <c r="H332">
        <v>1</v>
      </c>
    </row>
    <row r="333" spans="1:8" x14ac:dyDescent="0.35">
      <c r="A333" t="s">
        <v>341</v>
      </c>
      <c r="B333" t="s">
        <v>387</v>
      </c>
      <c r="C333" t="s">
        <v>394</v>
      </c>
      <c r="D333" t="s">
        <v>397</v>
      </c>
      <c r="E333" t="s">
        <v>400</v>
      </c>
      <c r="F333" t="s">
        <v>406</v>
      </c>
      <c r="G333">
        <v>0</v>
      </c>
      <c r="H333">
        <v>12</v>
      </c>
    </row>
    <row r="334" spans="1:8" x14ac:dyDescent="0.35">
      <c r="A334" t="s">
        <v>342</v>
      </c>
      <c r="B334" t="s">
        <v>389</v>
      </c>
      <c r="C334" t="s">
        <v>393</v>
      </c>
      <c r="D334" t="s">
        <v>395</v>
      </c>
      <c r="E334" t="s">
        <v>399</v>
      </c>
      <c r="F334" t="s">
        <v>406</v>
      </c>
      <c r="G334">
        <v>20</v>
      </c>
      <c r="H334">
        <v>15</v>
      </c>
    </row>
    <row r="335" spans="1:8" x14ac:dyDescent="0.35">
      <c r="A335" t="s">
        <v>343</v>
      </c>
      <c r="B335" t="s">
        <v>386</v>
      </c>
      <c r="C335" t="s">
        <v>390</v>
      </c>
      <c r="D335" t="s">
        <v>396</v>
      </c>
      <c r="E335" t="s">
        <v>398</v>
      </c>
      <c r="F335" t="s">
        <v>406</v>
      </c>
      <c r="G335">
        <v>50</v>
      </c>
      <c r="H335">
        <v>11</v>
      </c>
    </row>
    <row r="336" spans="1:8" x14ac:dyDescent="0.35">
      <c r="A336" t="s">
        <v>344</v>
      </c>
      <c r="B336" t="s">
        <v>388</v>
      </c>
      <c r="C336" t="s">
        <v>390</v>
      </c>
      <c r="D336" t="s">
        <v>397</v>
      </c>
      <c r="E336" t="s">
        <v>401</v>
      </c>
      <c r="F336" t="s">
        <v>405</v>
      </c>
      <c r="G336">
        <v>0</v>
      </c>
      <c r="H336">
        <v>8</v>
      </c>
    </row>
    <row r="337" spans="1:8" x14ac:dyDescent="0.35">
      <c r="A337" t="s">
        <v>345</v>
      </c>
      <c r="B337" t="s">
        <v>386</v>
      </c>
      <c r="C337" t="s">
        <v>390</v>
      </c>
      <c r="D337" t="s">
        <v>396</v>
      </c>
      <c r="E337" t="s">
        <v>398</v>
      </c>
      <c r="F337" t="s">
        <v>403</v>
      </c>
      <c r="G337">
        <v>50</v>
      </c>
      <c r="H337">
        <v>1</v>
      </c>
    </row>
    <row r="338" spans="1:8" x14ac:dyDescent="0.35">
      <c r="A338" t="s">
        <v>346</v>
      </c>
      <c r="B338" t="s">
        <v>387</v>
      </c>
      <c r="C338" t="s">
        <v>393</v>
      </c>
      <c r="D338" t="s">
        <v>397</v>
      </c>
      <c r="E338" t="s">
        <v>399</v>
      </c>
      <c r="F338" t="s">
        <v>405</v>
      </c>
      <c r="G338">
        <v>0</v>
      </c>
      <c r="H338">
        <v>9</v>
      </c>
    </row>
    <row r="339" spans="1:8" x14ac:dyDescent="0.35">
      <c r="A339" t="s">
        <v>347</v>
      </c>
      <c r="B339" t="s">
        <v>387</v>
      </c>
      <c r="C339" t="s">
        <v>391</v>
      </c>
      <c r="D339" t="s">
        <v>396</v>
      </c>
      <c r="E339" t="s">
        <v>401</v>
      </c>
      <c r="F339" t="s">
        <v>403</v>
      </c>
      <c r="G339">
        <v>50</v>
      </c>
      <c r="H339">
        <v>18</v>
      </c>
    </row>
    <row r="340" spans="1:8" x14ac:dyDescent="0.35">
      <c r="A340" t="s">
        <v>348</v>
      </c>
      <c r="B340" t="s">
        <v>387</v>
      </c>
      <c r="C340" t="s">
        <v>392</v>
      </c>
      <c r="D340" t="s">
        <v>396</v>
      </c>
      <c r="E340" t="s">
        <v>398</v>
      </c>
      <c r="F340" t="s">
        <v>403</v>
      </c>
      <c r="G340">
        <v>50</v>
      </c>
      <c r="H340">
        <v>19</v>
      </c>
    </row>
    <row r="341" spans="1:8" x14ac:dyDescent="0.35">
      <c r="A341" t="s">
        <v>349</v>
      </c>
      <c r="B341" t="s">
        <v>387</v>
      </c>
      <c r="C341" t="s">
        <v>390</v>
      </c>
      <c r="D341" t="s">
        <v>397</v>
      </c>
      <c r="E341" t="s">
        <v>400</v>
      </c>
      <c r="F341" t="s">
        <v>405</v>
      </c>
      <c r="G341">
        <v>0</v>
      </c>
      <c r="H341">
        <v>5</v>
      </c>
    </row>
    <row r="342" spans="1:8" x14ac:dyDescent="0.35">
      <c r="A342" t="s">
        <v>350</v>
      </c>
      <c r="B342" t="s">
        <v>389</v>
      </c>
      <c r="C342" t="s">
        <v>394</v>
      </c>
      <c r="D342" t="s">
        <v>397</v>
      </c>
      <c r="E342" t="s">
        <v>399</v>
      </c>
      <c r="F342" t="s">
        <v>405</v>
      </c>
      <c r="G342">
        <v>0</v>
      </c>
      <c r="H342">
        <v>2</v>
      </c>
    </row>
    <row r="343" spans="1:8" x14ac:dyDescent="0.35">
      <c r="A343" t="s">
        <v>351</v>
      </c>
      <c r="B343" t="s">
        <v>388</v>
      </c>
      <c r="C343" t="s">
        <v>392</v>
      </c>
      <c r="D343" t="s">
        <v>396</v>
      </c>
      <c r="E343" t="s">
        <v>399</v>
      </c>
      <c r="F343" t="s">
        <v>405</v>
      </c>
      <c r="G343">
        <v>50</v>
      </c>
      <c r="H343">
        <v>16</v>
      </c>
    </row>
    <row r="344" spans="1:8" x14ac:dyDescent="0.35">
      <c r="A344" t="s">
        <v>352</v>
      </c>
      <c r="B344" t="s">
        <v>388</v>
      </c>
      <c r="C344" t="s">
        <v>392</v>
      </c>
      <c r="D344" t="s">
        <v>396</v>
      </c>
      <c r="E344" t="s">
        <v>400</v>
      </c>
      <c r="F344" t="s">
        <v>404</v>
      </c>
      <c r="G344">
        <v>50</v>
      </c>
      <c r="H344">
        <v>10</v>
      </c>
    </row>
    <row r="345" spans="1:8" x14ac:dyDescent="0.35">
      <c r="A345" t="s">
        <v>353</v>
      </c>
      <c r="B345" t="s">
        <v>387</v>
      </c>
      <c r="C345" t="s">
        <v>391</v>
      </c>
      <c r="D345" t="s">
        <v>397</v>
      </c>
      <c r="E345" t="s">
        <v>399</v>
      </c>
      <c r="F345" t="s">
        <v>402</v>
      </c>
      <c r="G345">
        <v>0</v>
      </c>
      <c r="H345">
        <v>6</v>
      </c>
    </row>
    <row r="346" spans="1:8" x14ac:dyDescent="0.35">
      <c r="A346" t="s">
        <v>354</v>
      </c>
      <c r="B346" t="s">
        <v>385</v>
      </c>
      <c r="C346" t="s">
        <v>390</v>
      </c>
      <c r="D346" t="s">
        <v>395</v>
      </c>
      <c r="E346" t="s">
        <v>398</v>
      </c>
      <c r="F346" t="s">
        <v>405</v>
      </c>
      <c r="G346">
        <v>20</v>
      </c>
      <c r="H346">
        <v>17</v>
      </c>
    </row>
    <row r="347" spans="1:8" x14ac:dyDescent="0.35">
      <c r="A347" t="s">
        <v>355</v>
      </c>
      <c r="B347" t="s">
        <v>387</v>
      </c>
      <c r="C347" t="s">
        <v>394</v>
      </c>
      <c r="D347" t="s">
        <v>395</v>
      </c>
      <c r="E347" t="s">
        <v>399</v>
      </c>
      <c r="F347" t="s">
        <v>402</v>
      </c>
      <c r="G347">
        <v>20</v>
      </c>
      <c r="H347">
        <v>15</v>
      </c>
    </row>
    <row r="348" spans="1:8" x14ac:dyDescent="0.35">
      <c r="A348" t="s">
        <v>356</v>
      </c>
      <c r="B348" t="s">
        <v>386</v>
      </c>
      <c r="C348" t="s">
        <v>390</v>
      </c>
      <c r="D348" t="s">
        <v>397</v>
      </c>
      <c r="E348" t="s">
        <v>401</v>
      </c>
      <c r="F348" t="s">
        <v>405</v>
      </c>
      <c r="G348">
        <v>0</v>
      </c>
      <c r="H348">
        <v>19</v>
      </c>
    </row>
    <row r="349" spans="1:8" x14ac:dyDescent="0.35">
      <c r="A349" t="s">
        <v>357</v>
      </c>
      <c r="B349" t="s">
        <v>389</v>
      </c>
      <c r="C349" t="s">
        <v>390</v>
      </c>
      <c r="D349" t="s">
        <v>397</v>
      </c>
      <c r="E349" t="s">
        <v>398</v>
      </c>
      <c r="F349" t="s">
        <v>405</v>
      </c>
      <c r="G349">
        <v>0</v>
      </c>
      <c r="H349">
        <v>2</v>
      </c>
    </row>
    <row r="350" spans="1:8" x14ac:dyDescent="0.35">
      <c r="A350" t="s">
        <v>358</v>
      </c>
      <c r="B350" t="s">
        <v>388</v>
      </c>
      <c r="C350" t="s">
        <v>390</v>
      </c>
      <c r="D350" t="s">
        <v>397</v>
      </c>
      <c r="E350" t="s">
        <v>401</v>
      </c>
      <c r="F350" t="s">
        <v>402</v>
      </c>
      <c r="G350">
        <v>0</v>
      </c>
      <c r="H350">
        <v>13</v>
      </c>
    </row>
    <row r="351" spans="1:8" x14ac:dyDescent="0.35">
      <c r="A351" t="s">
        <v>359</v>
      </c>
      <c r="B351" t="s">
        <v>389</v>
      </c>
      <c r="C351" t="s">
        <v>390</v>
      </c>
      <c r="D351" t="s">
        <v>395</v>
      </c>
      <c r="E351" t="s">
        <v>401</v>
      </c>
      <c r="F351" t="s">
        <v>404</v>
      </c>
      <c r="G351">
        <v>20</v>
      </c>
      <c r="H351">
        <v>19</v>
      </c>
    </row>
    <row r="352" spans="1:8" x14ac:dyDescent="0.35">
      <c r="A352" t="s">
        <v>360</v>
      </c>
      <c r="B352" t="s">
        <v>385</v>
      </c>
      <c r="C352" t="s">
        <v>390</v>
      </c>
      <c r="D352" t="s">
        <v>395</v>
      </c>
      <c r="E352" t="s">
        <v>399</v>
      </c>
      <c r="F352" t="s">
        <v>403</v>
      </c>
      <c r="G352">
        <v>20</v>
      </c>
      <c r="H352">
        <v>5</v>
      </c>
    </row>
    <row r="353" spans="1:8" x14ac:dyDescent="0.35">
      <c r="A353" t="s">
        <v>361</v>
      </c>
      <c r="B353" t="s">
        <v>389</v>
      </c>
      <c r="C353" t="s">
        <v>390</v>
      </c>
      <c r="D353" t="s">
        <v>397</v>
      </c>
      <c r="E353" t="s">
        <v>400</v>
      </c>
      <c r="F353" t="s">
        <v>406</v>
      </c>
      <c r="G353">
        <v>0</v>
      </c>
      <c r="H353">
        <v>11</v>
      </c>
    </row>
    <row r="354" spans="1:8" x14ac:dyDescent="0.35">
      <c r="A354" t="s">
        <v>362</v>
      </c>
      <c r="B354" t="s">
        <v>386</v>
      </c>
      <c r="C354" t="s">
        <v>394</v>
      </c>
      <c r="D354" t="s">
        <v>395</v>
      </c>
      <c r="E354" t="s">
        <v>401</v>
      </c>
      <c r="F354" t="s">
        <v>404</v>
      </c>
      <c r="G354">
        <v>20</v>
      </c>
      <c r="H354">
        <v>19</v>
      </c>
    </row>
    <row r="355" spans="1:8" x14ac:dyDescent="0.35">
      <c r="A355" t="s">
        <v>363</v>
      </c>
      <c r="B355" t="s">
        <v>386</v>
      </c>
      <c r="C355" t="s">
        <v>393</v>
      </c>
      <c r="D355" t="s">
        <v>396</v>
      </c>
      <c r="E355" t="s">
        <v>401</v>
      </c>
      <c r="F355" t="s">
        <v>403</v>
      </c>
      <c r="G355">
        <v>50</v>
      </c>
      <c r="H355">
        <v>19</v>
      </c>
    </row>
    <row r="356" spans="1:8" x14ac:dyDescent="0.35">
      <c r="A356" t="s">
        <v>364</v>
      </c>
      <c r="B356" t="s">
        <v>388</v>
      </c>
      <c r="C356" t="s">
        <v>390</v>
      </c>
      <c r="D356" t="s">
        <v>397</v>
      </c>
      <c r="E356" t="s">
        <v>401</v>
      </c>
      <c r="F356" t="s">
        <v>405</v>
      </c>
      <c r="G356">
        <v>0</v>
      </c>
      <c r="H356">
        <v>17</v>
      </c>
    </row>
    <row r="357" spans="1:8" x14ac:dyDescent="0.35">
      <c r="A357" t="s">
        <v>365</v>
      </c>
      <c r="B357" t="s">
        <v>388</v>
      </c>
      <c r="C357" t="s">
        <v>394</v>
      </c>
      <c r="D357" t="s">
        <v>396</v>
      </c>
      <c r="E357" t="s">
        <v>400</v>
      </c>
      <c r="F357" t="s">
        <v>404</v>
      </c>
      <c r="G357">
        <v>50</v>
      </c>
      <c r="H357">
        <v>9</v>
      </c>
    </row>
    <row r="358" spans="1:8" x14ac:dyDescent="0.35">
      <c r="A358" t="s">
        <v>366</v>
      </c>
      <c r="B358" t="s">
        <v>389</v>
      </c>
      <c r="C358" t="s">
        <v>394</v>
      </c>
      <c r="D358" t="s">
        <v>396</v>
      </c>
      <c r="E358" t="s">
        <v>401</v>
      </c>
      <c r="F358" t="s">
        <v>406</v>
      </c>
      <c r="G358">
        <v>50</v>
      </c>
      <c r="H358">
        <v>4</v>
      </c>
    </row>
    <row r="359" spans="1:8" x14ac:dyDescent="0.35">
      <c r="A359" t="s">
        <v>367</v>
      </c>
      <c r="B359" t="s">
        <v>389</v>
      </c>
      <c r="C359" t="s">
        <v>394</v>
      </c>
      <c r="D359" t="s">
        <v>397</v>
      </c>
      <c r="E359" t="s">
        <v>399</v>
      </c>
      <c r="F359" t="s">
        <v>405</v>
      </c>
      <c r="G359">
        <v>0</v>
      </c>
      <c r="H359">
        <v>2</v>
      </c>
    </row>
    <row r="360" spans="1:8" x14ac:dyDescent="0.35">
      <c r="A360" t="s">
        <v>368</v>
      </c>
      <c r="B360" t="s">
        <v>386</v>
      </c>
      <c r="C360" t="s">
        <v>391</v>
      </c>
      <c r="D360" t="s">
        <v>395</v>
      </c>
      <c r="E360" t="s">
        <v>400</v>
      </c>
      <c r="F360" t="s">
        <v>402</v>
      </c>
      <c r="G360">
        <v>20</v>
      </c>
      <c r="H360">
        <v>10</v>
      </c>
    </row>
    <row r="361" spans="1:8" x14ac:dyDescent="0.35">
      <c r="A361" t="s">
        <v>369</v>
      </c>
      <c r="B361" t="s">
        <v>387</v>
      </c>
      <c r="C361" t="s">
        <v>394</v>
      </c>
      <c r="D361" t="s">
        <v>397</v>
      </c>
      <c r="E361" t="s">
        <v>401</v>
      </c>
      <c r="F361" t="s">
        <v>403</v>
      </c>
      <c r="G361">
        <v>0</v>
      </c>
      <c r="H361">
        <v>0</v>
      </c>
    </row>
    <row r="362" spans="1:8" x14ac:dyDescent="0.35">
      <c r="A362" t="s">
        <v>370</v>
      </c>
      <c r="B362" t="s">
        <v>388</v>
      </c>
      <c r="C362" t="s">
        <v>391</v>
      </c>
      <c r="D362" t="s">
        <v>396</v>
      </c>
      <c r="E362" t="s">
        <v>399</v>
      </c>
      <c r="F362" t="s">
        <v>405</v>
      </c>
      <c r="G362">
        <v>50</v>
      </c>
      <c r="H362">
        <v>1</v>
      </c>
    </row>
    <row r="363" spans="1:8" x14ac:dyDescent="0.35">
      <c r="A363" t="s">
        <v>371</v>
      </c>
      <c r="B363" t="s">
        <v>389</v>
      </c>
      <c r="C363" t="s">
        <v>393</v>
      </c>
      <c r="D363" t="s">
        <v>396</v>
      </c>
      <c r="E363" t="s">
        <v>400</v>
      </c>
      <c r="F363" t="s">
        <v>403</v>
      </c>
      <c r="G363">
        <v>50</v>
      </c>
      <c r="H363">
        <v>17</v>
      </c>
    </row>
    <row r="364" spans="1:8" x14ac:dyDescent="0.35">
      <c r="A364" t="s">
        <v>372</v>
      </c>
      <c r="B364" t="s">
        <v>385</v>
      </c>
      <c r="C364" t="s">
        <v>390</v>
      </c>
      <c r="D364" t="s">
        <v>396</v>
      </c>
      <c r="E364" t="s">
        <v>401</v>
      </c>
      <c r="F364" t="s">
        <v>405</v>
      </c>
      <c r="G364">
        <v>50</v>
      </c>
      <c r="H364">
        <v>19</v>
      </c>
    </row>
    <row r="365" spans="1:8" x14ac:dyDescent="0.35">
      <c r="A365" t="s">
        <v>373</v>
      </c>
      <c r="B365" t="s">
        <v>385</v>
      </c>
      <c r="C365" t="s">
        <v>391</v>
      </c>
      <c r="D365" t="s">
        <v>396</v>
      </c>
      <c r="E365" t="s">
        <v>401</v>
      </c>
      <c r="F365" t="s">
        <v>402</v>
      </c>
      <c r="G365">
        <v>50</v>
      </c>
      <c r="H365">
        <v>14</v>
      </c>
    </row>
    <row r="366" spans="1:8" x14ac:dyDescent="0.35">
      <c r="A366" t="s">
        <v>374</v>
      </c>
      <c r="B366" t="s">
        <v>389</v>
      </c>
      <c r="C366" t="s">
        <v>390</v>
      </c>
      <c r="D366" t="s">
        <v>396</v>
      </c>
      <c r="E366" t="s">
        <v>400</v>
      </c>
      <c r="F366" t="s">
        <v>402</v>
      </c>
      <c r="G366">
        <v>50</v>
      </c>
      <c r="H366">
        <v>1</v>
      </c>
    </row>
    <row r="367" spans="1:8" x14ac:dyDescent="0.35">
      <c r="A367" t="s">
        <v>375</v>
      </c>
      <c r="B367" t="s">
        <v>389</v>
      </c>
      <c r="C367" t="s">
        <v>392</v>
      </c>
      <c r="D367" t="s">
        <v>396</v>
      </c>
      <c r="E367" t="s">
        <v>399</v>
      </c>
      <c r="F367" t="s">
        <v>403</v>
      </c>
      <c r="G367">
        <v>50</v>
      </c>
      <c r="H367">
        <v>11</v>
      </c>
    </row>
    <row r="368" spans="1:8" x14ac:dyDescent="0.35">
      <c r="A368" t="s">
        <v>376</v>
      </c>
      <c r="B368" t="s">
        <v>386</v>
      </c>
      <c r="C368" t="s">
        <v>391</v>
      </c>
      <c r="D368" t="s">
        <v>397</v>
      </c>
      <c r="E368" t="s">
        <v>398</v>
      </c>
      <c r="F368" t="s">
        <v>402</v>
      </c>
      <c r="G368">
        <v>0</v>
      </c>
      <c r="H368">
        <v>0</v>
      </c>
    </row>
    <row r="369" spans="1:8" x14ac:dyDescent="0.35">
      <c r="A369" t="s">
        <v>377</v>
      </c>
      <c r="B369" t="s">
        <v>389</v>
      </c>
      <c r="C369" t="s">
        <v>394</v>
      </c>
      <c r="D369" t="s">
        <v>396</v>
      </c>
      <c r="E369" t="s">
        <v>400</v>
      </c>
      <c r="F369" t="s">
        <v>406</v>
      </c>
      <c r="G369">
        <v>50</v>
      </c>
      <c r="H369">
        <v>5</v>
      </c>
    </row>
    <row r="370" spans="1:8" x14ac:dyDescent="0.35">
      <c r="A370" t="s">
        <v>378</v>
      </c>
      <c r="B370" t="s">
        <v>387</v>
      </c>
      <c r="C370" t="s">
        <v>393</v>
      </c>
      <c r="D370" t="s">
        <v>396</v>
      </c>
      <c r="E370" t="s">
        <v>399</v>
      </c>
      <c r="F370" t="s">
        <v>403</v>
      </c>
      <c r="G370">
        <v>50</v>
      </c>
      <c r="H370">
        <v>20</v>
      </c>
    </row>
    <row r="371" spans="1:8" x14ac:dyDescent="0.35">
      <c r="A371" t="s">
        <v>379</v>
      </c>
      <c r="B371" t="s">
        <v>386</v>
      </c>
      <c r="C371" t="s">
        <v>393</v>
      </c>
      <c r="D371" t="s">
        <v>395</v>
      </c>
      <c r="E371" t="s">
        <v>400</v>
      </c>
      <c r="F371" t="s">
        <v>405</v>
      </c>
      <c r="G371">
        <v>20</v>
      </c>
      <c r="H371">
        <v>18</v>
      </c>
    </row>
    <row r="372" spans="1:8" x14ac:dyDescent="0.35">
      <c r="A372" t="s">
        <v>380</v>
      </c>
      <c r="B372" t="s">
        <v>385</v>
      </c>
      <c r="C372" t="s">
        <v>391</v>
      </c>
      <c r="D372" t="s">
        <v>397</v>
      </c>
      <c r="E372" t="s">
        <v>398</v>
      </c>
      <c r="F372" t="s">
        <v>403</v>
      </c>
      <c r="G372">
        <v>0</v>
      </c>
      <c r="H372">
        <v>2</v>
      </c>
    </row>
    <row r="373" spans="1:8" x14ac:dyDescent="0.35">
      <c r="A373" t="s">
        <v>381</v>
      </c>
      <c r="B373" t="s">
        <v>387</v>
      </c>
      <c r="C373" t="s">
        <v>390</v>
      </c>
      <c r="D373" t="s">
        <v>397</v>
      </c>
      <c r="E373" t="s">
        <v>398</v>
      </c>
      <c r="F373" t="s">
        <v>405</v>
      </c>
      <c r="G373">
        <v>0</v>
      </c>
      <c r="H373">
        <v>4</v>
      </c>
    </row>
    <row r="374" spans="1:8" x14ac:dyDescent="0.35">
      <c r="A374" t="s">
        <v>382</v>
      </c>
      <c r="B374" t="s">
        <v>386</v>
      </c>
      <c r="C374" t="s">
        <v>394</v>
      </c>
      <c r="D374" t="s">
        <v>395</v>
      </c>
      <c r="E374" t="s">
        <v>400</v>
      </c>
      <c r="F374" t="s">
        <v>406</v>
      </c>
      <c r="G374">
        <v>20</v>
      </c>
      <c r="H374">
        <v>1</v>
      </c>
    </row>
    <row r="375" spans="1:8" x14ac:dyDescent="0.35">
      <c r="A375" t="s">
        <v>383</v>
      </c>
      <c r="B375" t="s">
        <v>388</v>
      </c>
      <c r="C375" t="s">
        <v>391</v>
      </c>
      <c r="D375" t="s">
        <v>395</v>
      </c>
      <c r="E375" t="s">
        <v>399</v>
      </c>
      <c r="F375" t="s">
        <v>402</v>
      </c>
      <c r="G375">
        <v>20</v>
      </c>
      <c r="H375">
        <v>2</v>
      </c>
    </row>
    <row r="376" spans="1:8" x14ac:dyDescent="0.35">
      <c r="A376" t="s">
        <v>384</v>
      </c>
      <c r="B376" t="s">
        <v>387</v>
      </c>
      <c r="C376" t="s">
        <v>392</v>
      </c>
      <c r="D376" t="s">
        <v>397</v>
      </c>
      <c r="E376" t="s">
        <v>401</v>
      </c>
      <c r="F376" t="s">
        <v>404</v>
      </c>
      <c r="G376">
        <v>0</v>
      </c>
      <c r="H376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1A29C-4170-4BBD-93A9-6AF22A56DE3C}">
  <dimension ref="A1:O376"/>
  <sheetViews>
    <sheetView topLeftCell="G1" workbookViewId="0">
      <selection activeCell="B10" sqref="B10"/>
    </sheetView>
  </sheetViews>
  <sheetFormatPr defaultRowHeight="14.5" x14ac:dyDescent="0.35"/>
  <cols>
    <col min="1" max="1" width="11.7265625" style="8" customWidth="1"/>
    <col min="3" max="3" width="14" style="8" customWidth="1"/>
    <col min="4" max="4" width="17.6328125" style="8" customWidth="1"/>
    <col min="5" max="5" width="15.6328125" style="8" customWidth="1"/>
    <col min="6" max="6" width="11.6328125" style="10" customWidth="1"/>
    <col min="7" max="7" width="20.54296875" style="12" customWidth="1"/>
    <col min="8" max="8" width="23.90625" style="16" customWidth="1"/>
    <col min="9" max="9" width="15.36328125" bestFit="1" customWidth="1"/>
    <col min="10" max="10" width="17.08984375" bestFit="1" customWidth="1"/>
    <col min="11" max="11" width="19.54296875" bestFit="1" customWidth="1"/>
    <col min="14" max="14" width="20.6328125" customWidth="1"/>
    <col min="15" max="15" width="12.36328125" customWidth="1"/>
  </cols>
  <sheetData>
    <row r="1" spans="1:15" x14ac:dyDescent="0.35">
      <c r="A1" s="7" t="s">
        <v>2</v>
      </c>
      <c r="B1" s="6" t="s">
        <v>3</v>
      </c>
      <c r="C1" s="7" t="s">
        <v>4</v>
      </c>
      <c r="D1" s="7" t="s">
        <v>5</v>
      </c>
      <c r="E1" s="7" t="s">
        <v>6</v>
      </c>
      <c r="F1" s="9" t="s">
        <v>7</v>
      </c>
      <c r="G1" s="11" t="s">
        <v>8</v>
      </c>
      <c r="H1" s="15" t="s">
        <v>9</v>
      </c>
      <c r="I1" s="6" t="s">
        <v>419</v>
      </c>
      <c r="J1" s="6" t="s">
        <v>417</v>
      </c>
      <c r="K1" s="6" t="s">
        <v>418</v>
      </c>
    </row>
    <row r="2" spans="1:15" x14ac:dyDescent="0.35">
      <c r="A2" s="8" t="s">
        <v>10</v>
      </c>
      <c r="B2" t="s">
        <v>385</v>
      </c>
      <c r="C2" s="8" t="s">
        <v>390</v>
      </c>
      <c r="D2" s="8" t="s">
        <v>395</v>
      </c>
      <c r="E2" s="8" t="s">
        <v>398</v>
      </c>
      <c r="F2" s="10" t="s">
        <v>402</v>
      </c>
      <c r="G2" s="12">
        <v>20</v>
      </c>
      <c r="H2" s="16">
        <v>3</v>
      </c>
      <c r="I2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" t="str">
        <f>IF(COUNTIF(Table2[Student ID],Table2[[#This Row],[Student ID]])&gt;1,"Duplicate","OK")</f>
        <v>OK</v>
      </c>
      <c r="K2" t="str">
        <f>IF(Table2[[#This Row],[Monthly Payment ($)]]&gt;50, "Unusual","OK")</f>
        <v>OK</v>
      </c>
      <c r="N2" s="14" t="s">
        <v>420</v>
      </c>
      <c r="O2" s="13">
        <f>COUNTA(Table2[Student ID])</f>
        <v>375</v>
      </c>
    </row>
    <row r="3" spans="1:15" x14ac:dyDescent="0.35">
      <c r="A3" s="8" t="s">
        <v>11</v>
      </c>
      <c r="B3" t="s">
        <v>386</v>
      </c>
      <c r="C3" s="8" t="s">
        <v>391</v>
      </c>
      <c r="D3" s="8" t="s">
        <v>395</v>
      </c>
      <c r="E3" s="8" t="s">
        <v>398</v>
      </c>
      <c r="F3" s="10" t="s">
        <v>402</v>
      </c>
      <c r="G3" s="12">
        <v>20</v>
      </c>
      <c r="H3" s="16">
        <v>17</v>
      </c>
      <c r="I3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" t="str">
        <f>IF(COUNTIF(Table2[Student ID],Table2[[#This Row],[Student ID]])&gt;1,"Duplicate","OK")</f>
        <v>OK</v>
      </c>
      <c r="K3" t="str">
        <f>IF(Table2[[#This Row],[Monthly Payment ($)]]&gt;50, "Unusual","OK")</f>
        <v>OK</v>
      </c>
      <c r="N3" s="14" t="s">
        <v>421</v>
      </c>
      <c r="O3" s="13">
        <f>COUNTIF(Table2[Missing Info], "Missing")</f>
        <v>0</v>
      </c>
    </row>
    <row r="4" spans="1:15" x14ac:dyDescent="0.35">
      <c r="A4" s="8" t="s">
        <v>12</v>
      </c>
      <c r="B4" t="s">
        <v>387</v>
      </c>
      <c r="C4" s="8" t="s">
        <v>392</v>
      </c>
      <c r="D4" s="8" t="s">
        <v>396</v>
      </c>
      <c r="E4" s="8" t="s">
        <v>399</v>
      </c>
      <c r="F4" s="10" t="s">
        <v>403</v>
      </c>
      <c r="G4" s="12">
        <v>50</v>
      </c>
      <c r="H4" s="16">
        <v>15</v>
      </c>
      <c r="I4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4" t="str">
        <f>IF(COUNTIF(Table2[Student ID],Table2[[#This Row],[Student ID]])&gt;1,"Duplicate","OK")</f>
        <v>OK</v>
      </c>
      <c r="K4" t="str">
        <f>IF(Table2[[#This Row],[Monthly Payment ($)]]&gt;50, "Unusual","OK")</f>
        <v>OK</v>
      </c>
      <c r="N4" s="14" t="s">
        <v>422</v>
      </c>
      <c r="O4" s="13">
        <f>COUNTIF(Table2[Duplicate Info], "Duplicate")</f>
        <v>0</v>
      </c>
    </row>
    <row r="5" spans="1:15" x14ac:dyDescent="0.35">
      <c r="A5" s="8" t="s">
        <v>13</v>
      </c>
      <c r="B5" t="s">
        <v>388</v>
      </c>
      <c r="C5" s="8" t="s">
        <v>391</v>
      </c>
      <c r="D5" s="8" t="s">
        <v>397</v>
      </c>
      <c r="E5" s="8" t="s">
        <v>400</v>
      </c>
      <c r="F5" s="10" t="s">
        <v>402</v>
      </c>
      <c r="G5" s="12">
        <v>0</v>
      </c>
      <c r="H5" s="16">
        <v>10</v>
      </c>
      <c r="I5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5" t="str">
        <f>IF(COUNTIF(Table2[Student ID],Table2[[#This Row],[Student ID]])&gt;1,"Duplicate","OK")</f>
        <v>OK</v>
      </c>
      <c r="K5" t="str">
        <f>IF(Table2[[#This Row],[Monthly Payment ($)]]&gt;50, "Unusual","OK")</f>
        <v>OK</v>
      </c>
      <c r="N5" s="14" t="s">
        <v>423</v>
      </c>
      <c r="O5" s="13" t="s">
        <v>425</v>
      </c>
    </row>
    <row r="6" spans="1:15" x14ac:dyDescent="0.35">
      <c r="A6" s="8" t="s">
        <v>14</v>
      </c>
      <c r="B6" t="s">
        <v>389</v>
      </c>
      <c r="C6" s="8" t="s">
        <v>392</v>
      </c>
      <c r="D6" s="8" t="s">
        <v>395</v>
      </c>
      <c r="E6" s="8" t="s">
        <v>399</v>
      </c>
      <c r="F6" s="10" t="s">
        <v>404</v>
      </c>
      <c r="G6" s="12">
        <v>20</v>
      </c>
      <c r="H6" s="16">
        <v>15</v>
      </c>
      <c r="I6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6" t="str">
        <f>IF(COUNTIF(Table2[Student ID],Table2[[#This Row],[Student ID]])&gt;1,"Duplicate","OK")</f>
        <v>OK</v>
      </c>
      <c r="K6" t="str">
        <f>IF(Table2[[#This Row],[Monthly Payment ($)]]&gt;50, "Unusual","OK")</f>
        <v>OK</v>
      </c>
      <c r="N6" s="14" t="s">
        <v>424</v>
      </c>
      <c r="O6" s="13" t="s">
        <v>426</v>
      </c>
    </row>
    <row r="7" spans="1:15" x14ac:dyDescent="0.35">
      <c r="A7" s="8" t="s">
        <v>15</v>
      </c>
      <c r="B7" t="s">
        <v>388</v>
      </c>
      <c r="C7" s="8" t="s">
        <v>390</v>
      </c>
      <c r="D7" s="8" t="s">
        <v>397</v>
      </c>
      <c r="E7" s="8" t="s">
        <v>401</v>
      </c>
      <c r="F7" s="10" t="s">
        <v>403</v>
      </c>
      <c r="G7" s="12">
        <v>0</v>
      </c>
      <c r="H7" s="16">
        <v>6</v>
      </c>
      <c r="I7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7" t="str">
        <f>IF(COUNTIF(Table2[Student ID],Table2[[#This Row],[Student ID]])&gt;1,"Duplicate","OK")</f>
        <v>OK</v>
      </c>
      <c r="K7" t="str">
        <f>IF(Table2[[#This Row],[Monthly Payment ($)]]&gt;50, "Unusual","OK")</f>
        <v>OK</v>
      </c>
    </row>
    <row r="8" spans="1:15" x14ac:dyDescent="0.35">
      <c r="A8" s="8" t="s">
        <v>16</v>
      </c>
      <c r="B8" t="s">
        <v>387</v>
      </c>
      <c r="C8" s="8" t="s">
        <v>393</v>
      </c>
      <c r="D8" s="8" t="s">
        <v>396</v>
      </c>
      <c r="E8" s="8" t="s">
        <v>401</v>
      </c>
      <c r="F8" s="10" t="s">
        <v>403</v>
      </c>
      <c r="G8" s="12">
        <v>50</v>
      </c>
      <c r="H8" s="16">
        <v>6</v>
      </c>
      <c r="I8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8" t="str">
        <f>IF(COUNTIF(Table2[Student ID],Table2[[#This Row],[Student ID]])&gt;1,"Duplicate","OK")</f>
        <v>OK</v>
      </c>
      <c r="K8" t="str">
        <f>IF(Table2[[#This Row],[Monthly Payment ($)]]&gt;50, "Unusual","OK")</f>
        <v>OK</v>
      </c>
    </row>
    <row r="9" spans="1:15" x14ac:dyDescent="0.35">
      <c r="A9" s="8" t="s">
        <v>17</v>
      </c>
      <c r="B9" t="s">
        <v>385</v>
      </c>
      <c r="C9" s="8" t="s">
        <v>392</v>
      </c>
      <c r="D9" s="8" t="s">
        <v>396</v>
      </c>
      <c r="E9" s="8" t="s">
        <v>401</v>
      </c>
      <c r="F9" s="10" t="s">
        <v>404</v>
      </c>
      <c r="G9" s="12">
        <v>50</v>
      </c>
      <c r="H9" s="16">
        <v>14</v>
      </c>
      <c r="I9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9" t="str">
        <f>IF(COUNTIF(Table2[Student ID],Table2[[#This Row],[Student ID]])&gt;1,"Duplicate","OK")</f>
        <v>OK</v>
      </c>
      <c r="K9" t="str">
        <f>IF(Table2[[#This Row],[Monthly Payment ($)]]&gt;50, "Unusual","OK")</f>
        <v>OK</v>
      </c>
    </row>
    <row r="10" spans="1:15" x14ac:dyDescent="0.35">
      <c r="A10" s="8" t="s">
        <v>18</v>
      </c>
      <c r="B10" t="s">
        <v>387</v>
      </c>
      <c r="C10" s="8" t="s">
        <v>392</v>
      </c>
      <c r="D10" s="8" t="s">
        <v>397</v>
      </c>
      <c r="E10" s="8" t="s">
        <v>399</v>
      </c>
      <c r="F10" s="10" t="s">
        <v>405</v>
      </c>
      <c r="G10" s="12">
        <v>0</v>
      </c>
      <c r="H10" s="16">
        <v>20</v>
      </c>
      <c r="I10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0" t="str">
        <f>IF(COUNTIF(Table2[Student ID],Table2[[#This Row],[Student ID]])&gt;1,"Duplicate","OK")</f>
        <v>OK</v>
      </c>
      <c r="K10" t="str">
        <f>IF(Table2[[#This Row],[Monthly Payment ($)]]&gt;50, "Unusual","OK")</f>
        <v>OK</v>
      </c>
    </row>
    <row r="11" spans="1:15" x14ac:dyDescent="0.35">
      <c r="A11" s="8" t="s">
        <v>19</v>
      </c>
      <c r="B11" t="s">
        <v>389</v>
      </c>
      <c r="C11" s="8" t="s">
        <v>394</v>
      </c>
      <c r="D11" s="8" t="s">
        <v>396</v>
      </c>
      <c r="E11" s="8" t="s">
        <v>401</v>
      </c>
      <c r="F11" s="10" t="s">
        <v>405</v>
      </c>
      <c r="G11" s="12">
        <v>50</v>
      </c>
      <c r="H11" s="16">
        <v>18</v>
      </c>
      <c r="I11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1" t="str">
        <f>IF(COUNTIF(Table2[Student ID],Table2[[#This Row],[Student ID]])&gt;1,"Duplicate","OK")</f>
        <v>OK</v>
      </c>
      <c r="K11" t="str">
        <f>IF(Table2[[#This Row],[Monthly Payment ($)]]&gt;50, "Unusual","OK")</f>
        <v>OK</v>
      </c>
    </row>
    <row r="12" spans="1:15" x14ac:dyDescent="0.35">
      <c r="A12" s="8" t="s">
        <v>20</v>
      </c>
      <c r="B12" t="s">
        <v>387</v>
      </c>
      <c r="C12" s="8" t="s">
        <v>390</v>
      </c>
      <c r="D12" s="8" t="s">
        <v>396</v>
      </c>
      <c r="E12" s="8" t="s">
        <v>398</v>
      </c>
      <c r="F12" s="10" t="s">
        <v>404</v>
      </c>
      <c r="G12" s="12">
        <v>50</v>
      </c>
      <c r="H12" s="16">
        <v>15</v>
      </c>
      <c r="I12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2" t="str">
        <f>IF(COUNTIF(Table2[Student ID],Table2[[#This Row],[Student ID]])&gt;1,"Duplicate","OK")</f>
        <v>OK</v>
      </c>
      <c r="K12" t="str">
        <f>IF(Table2[[#This Row],[Monthly Payment ($)]]&gt;50, "Unusual","OK")</f>
        <v>OK</v>
      </c>
    </row>
    <row r="13" spans="1:15" x14ac:dyDescent="0.35">
      <c r="A13" s="8" t="s">
        <v>21</v>
      </c>
      <c r="B13" t="s">
        <v>388</v>
      </c>
      <c r="C13" s="8" t="s">
        <v>393</v>
      </c>
      <c r="D13" s="8" t="s">
        <v>395</v>
      </c>
      <c r="E13" s="8" t="s">
        <v>401</v>
      </c>
      <c r="F13" s="10" t="s">
        <v>403</v>
      </c>
      <c r="G13" s="12">
        <v>20</v>
      </c>
      <c r="H13" s="16">
        <v>1</v>
      </c>
      <c r="I13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3" t="str">
        <f>IF(COUNTIF(Table2[Student ID],Table2[[#This Row],[Student ID]])&gt;1,"Duplicate","OK")</f>
        <v>OK</v>
      </c>
      <c r="K13" t="str">
        <f>IF(Table2[[#This Row],[Monthly Payment ($)]]&gt;50, "Unusual","OK")</f>
        <v>OK</v>
      </c>
    </row>
    <row r="14" spans="1:15" x14ac:dyDescent="0.35">
      <c r="A14" s="8" t="s">
        <v>22</v>
      </c>
      <c r="B14" t="s">
        <v>389</v>
      </c>
      <c r="C14" s="8" t="s">
        <v>394</v>
      </c>
      <c r="D14" s="8" t="s">
        <v>395</v>
      </c>
      <c r="E14" s="8" t="s">
        <v>400</v>
      </c>
      <c r="F14" s="10" t="s">
        <v>403</v>
      </c>
      <c r="G14" s="12">
        <v>20</v>
      </c>
      <c r="H14" s="16">
        <v>8</v>
      </c>
      <c r="I14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4" t="str">
        <f>IF(COUNTIF(Table2[Student ID],Table2[[#This Row],[Student ID]])&gt;1,"Duplicate","OK")</f>
        <v>OK</v>
      </c>
      <c r="K14" t="str">
        <f>IF(Table2[[#This Row],[Monthly Payment ($)]]&gt;50, "Unusual","OK")</f>
        <v>OK</v>
      </c>
    </row>
    <row r="15" spans="1:15" x14ac:dyDescent="0.35">
      <c r="A15" s="8" t="s">
        <v>23</v>
      </c>
      <c r="B15" t="s">
        <v>387</v>
      </c>
      <c r="C15" s="8" t="s">
        <v>393</v>
      </c>
      <c r="D15" s="8" t="s">
        <v>396</v>
      </c>
      <c r="E15" s="8" t="s">
        <v>401</v>
      </c>
      <c r="F15" s="10" t="s">
        <v>405</v>
      </c>
      <c r="G15" s="12">
        <v>50</v>
      </c>
      <c r="H15" s="16">
        <v>20</v>
      </c>
      <c r="I15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5" t="str">
        <f>IF(COUNTIF(Table2[Student ID],Table2[[#This Row],[Student ID]])&gt;1,"Duplicate","OK")</f>
        <v>OK</v>
      </c>
      <c r="K15" t="str">
        <f>IF(Table2[[#This Row],[Monthly Payment ($)]]&gt;50, "Unusual","OK")</f>
        <v>OK</v>
      </c>
    </row>
    <row r="16" spans="1:15" x14ac:dyDescent="0.35">
      <c r="A16" s="8" t="s">
        <v>24</v>
      </c>
      <c r="B16" t="s">
        <v>388</v>
      </c>
      <c r="C16" s="8" t="s">
        <v>394</v>
      </c>
      <c r="D16" s="8" t="s">
        <v>397</v>
      </c>
      <c r="E16" s="8" t="s">
        <v>401</v>
      </c>
      <c r="F16" s="10" t="s">
        <v>403</v>
      </c>
      <c r="G16" s="12">
        <v>0</v>
      </c>
      <c r="H16" s="16">
        <v>15</v>
      </c>
      <c r="I16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6" t="str">
        <f>IF(COUNTIF(Table2[Student ID],Table2[[#This Row],[Student ID]])&gt;1,"Duplicate","OK")</f>
        <v>OK</v>
      </c>
      <c r="K16" t="str">
        <f>IF(Table2[[#This Row],[Monthly Payment ($)]]&gt;50, "Unusual","OK")</f>
        <v>OK</v>
      </c>
    </row>
    <row r="17" spans="1:11" x14ac:dyDescent="0.35">
      <c r="A17" s="8" t="s">
        <v>25</v>
      </c>
      <c r="B17" t="s">
        <v>386</v>
      </c>
      <c r="C17" s="8" t="s">
        <v>391</v>
      </c>
      <c r="D17" s="8" t="s">
        <v>395</v>
      </c>
      <c r="E17" s="8" t="s">
        <v>401</v>
      </c>
      <c r="F17" s="10" t="s">
        <v>403</v>
      </c>
      <c r="G17" s="12">
        <v>20</v>
      </c>
      <c r="H17" s="16">
        <v>15</v>
      </c>
      <c r="I17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7" t="str">
        <f>IF(COUNTIF(Table2[Student ID],Table2[[#This Row],[Student ID]])&gt;1,"Duplicate","OK")</f>
        <v>OK</v>
      </c>
      <c r="K17" t="str">
        <f>IF(Table2[[#This Row],[Monthly Payment ($)]]&gt;50, "Unusual","OK")</f>
        <v>OK</v>
      </c>
    </row>
    <row r="18" spans="1:11" x14ac:dyDescent="0.35">
      <c r="A18" s="8" t="s">
        <v>26</v>
      </c>
      <c r="B18" t="s">
        <v>389</v>
      </c>
      <c r="C18" s="8" t="s">
        <v>392</v>
      </c>
      <c r="D18" s="8" t="s">
        <v>397</v>
      </c>
      <c r="E18" s="8" t="s">
        <v>398</v>
      </c>
      <c r="F18" s="10" t="s">
        <v>403</v>
      </c>
      <c r="G18" s="12">
        <v>0</v>
      </c>
      <c r="H18" s="16">
        <v>14</v>
      </c>
      <c r="I18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8" t="str">
        <f>IF(COUNTIF(Table2[Student ID],Table2[[#This Row],[Student ID]])&gt;1,"Duplicate","OK")</f>
        <v>OK</v>
      </c>
      <c r="K18" t="str">
        <f>IF(Table2[[#This Row],[Monthly Payment ($)]]&gt;50, "Unusual","OK")</f>
        <v>OK</v>
      </c>
    </row>
    <row r="19" spans="1:11" x14ac:dyDescent="0.35">
      <c r="A19" s="8" t="s">
        <v>27</v>
      </c>
      <c r="B19" t="s">
        <v>386</v>
      </c>
      <c r="C19" s="8" t="s">
        <v>393</v>
      </c>
      <c r="D19" s="8" t="s">
        <v>397</v>
      </c>
      <c r="E19" s="8" t="s">
        <v>401</v>
      </c>
      <c r="F19" s="10" t="s">
        <v>402</v>
      </c>
      <c r="G19" s="12">
        <v>0</v>
      </c>
      <c r="H19" s="16">
        <v>7</v>
      </c>
      <c r="I19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9" t="str">
        <f>IF(COUNTIF(Table2[Student ID],Table2[[#This Row],[Student ID]])&gt;1,"Duplicate","OK")</f>
        <v>OK</v>
      </c>
      <c r="K19" t="str">
        <f>IF(Table2[[#This Row],[Monthly Payment ($)]]&gt;50, "Unusual","OK")</f>
        <v>OK</v>
      </c>
    </row>
    <row r="20" spans="1:11" x14ac:dyDescent="0.35">
      <c r="A20" s="8" t="s">
        <v>28</v>
      </c>
      <c r="B20" t="s">
        <v>388</v>
      </c>
      <c r="C20" s="8" t="s">
        <v>392</v>
      </c>
      <c r="D20" s="8" t="s">
        <v>395</v>
      </c>
      <c r="E20" s="8" t="s">
        <v>398</v>
      </c>
      <c r="F20" s="10" t="s">
        <v>402</v>
      </c>
      <c r="G20" s="12">
        <v>20</v>
      </c>
      <c r="H20" s="16">
        <v>4</v>
      </c>
      <c r="I20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0" t="str">
        <f>IF(COUNTIF(Table2[Student ID],Table2[[#This Row],[Student ID]])&gt;1,"Duplicate","OK")</f>
        <v>OK</v>
      </c>
      <c r="K20" t="str">
        <f>IF(Table2[[#This Row],[Monthly Payment ($)]]&gt;50, "Unusual","OK")</f>
        <v>OK</v>
      </c>
    </row>
    <row r="21" spans="1:11" x14ac:dyDescent="0.35">
      <c r="A21" s="8" t="s">
        <v>29</v>
      </c>
      <c r="B21" t="s">
        <v>389</v>
      </c>
      <c r="C21" s="8" t="s">
        <v>390</v>
      </c>
      <c r="D21" s="8" t="s">
        <v>397</v>
      </c>
      <c r="E21" s="8" t="s">
        <v>400</v>
      </c>
      <c r="F21" s="10" t="s">
        <v>404</v>
      </c>
      <c r="G21" s="12">
        <v>0</v>
      </c>
      <c r="H21" s="16">
        <v>19</v>
      </c>
      <c r="I21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1" t="str">
        <f>IF(COUNTIF(Table2[Student ID],Table2[[#This Row],[Student ID]])&gt;1,"Duplicate","OK")</f>
        <v>OK</v>
      </c>
      <c r="K21" t="str">
        <f>IF(Table2[[#This Row],[Monthly Payment ($)]]&gt;50, "Unusual","OK")</f>
        <v>OK</v>
      </c>
    </row>
    <row r="22" spans="1:11" x14ac:dyDescent="0.35">
      <c r="A22" s="8" t="s">
        <v>30</v>
      </c>
      <c r="B22" t="s">
        <v>386</v>
      </c>
      <c r="C22" s="8" t="s">
        <v>391</v>
      </c>
      <c r="D22" s="8" t="s">
        <v>395</v>
      </c>
      <c r="E22" s="8" t="s">
        <v>399</v>
      </c>
      <c r="F22" s="10" t="s">
        <v>404</v>
      </c>
      <c r="G22" s="12">
        <v>20</v>
      </c>
      <c r="H22" s="16">
        <v>3</v>
      </c>
      <c r="I22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2" t="str">
        <f>IF(COUNTIF(Table2[Student ID],Table2[[#This Row],[Student ID]])&gt;1,"Duplicate","OK")</f>
        <v>OK</v>
      </c>
      <c r="K22" t="str">
        <f>IF(Table2[[#This Row],[Monthly Payment ($)]]&gt;50, "Unusual","OK")</f>
        <v>OK</v>
      </c>
    </row>
    <row r="23" spans="1:11" x14ac:dyDescent="0.35">
      <c r="A23" s="8" t="s">
        <v>31</v>
      </c>
      <c r="B23" t="s">
        <v>387</v>
      </c>
      <c r="C23" s="8" t="s">
        <v>393</v>
      </c>
      <c r="D23" s="8" t="s">
        <v>395</v>
      </c>
      <c r="E23" s="8" t="s">
        <v>399</v>
      </c>
      <c r="F23" s="10" t="s">
        <v>404</v>
      </c>
      <c r="G23" s="12">
        <v>20</v>
      </c>
      <c r="H23" s="16">
        <v>8</v>
      </c>
      <c r="I23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3" t="str">
        <f>IF(COUNTIF(Table2[Student ID],Table2[[#This Row],[Student ID]])&gt;1,"Duplicate","OK")</f>
        <v>OK</v>
      </c>
      <c r="K23" t="str">
        <f>IF(Table2[[#This Row],[Monthly Payment ($)]]&gt;50, "Unusual","OK")</f>
        <v>OK</v>
      </c>
    </row>
    <row r="24" spans="1:11" x14ac:dyDescent="0.35">
      <c r="A24" s="8" t="s">
        <v>32</v>
      </c>
      <c r="B24" t="s">
        <v>386</v>
      </c>
      <c r="C24" s="8" t="s">
        <v>390</v>
      </c>
      <c r="D24" s="8" t="s">
        <v>395</v>
      </c>
      <c r="E24" s="8" t="s">
        <v>401</v>
      </c>
      <c r="F24" s="10" t="s">
        <v>404</v>
      </c>
      <c r="G24" s="12">
        <v>20</v>
      </c>
      <c r="H24" s="16">
        <v>15</v>
      </c>
      <c r="I24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4" t="str">
        <f>IF(COUNTIF(Table2[Student ID],Table2[[#This Row],[Student ID]])&gt;1,"Duplicate","OK")</f>
        <v>OK</v>
      </c>
      <c r="K24" t="str">
        <f>IF(Table2[[#This Row],[Monthly Payment ($)]]&gt;50, "Unusual","OK")</f>
        <v>OK</v>
      </c>
    </row>
    <row r="25" spans="1:11" x14ac:dyDescent="0.35">
      <c r="A25" s="8" t="s">
        <v>33</v>
      </c>
      <c r="B25" t="s">
        <v>389</v>
      </c>
      <c r="C25" s="8" t="s">
        <v>392</v>
      </c>
      <c r="D25" s="8" t="s">
        <v>397</v>
      </c>
      <c r="E25" s="8" t="s">
        <v>398</v>
      </c>
      <c r="F25" s="10" t="s">
        <v>403</v>
      </c>
      <c r="G25" s="12">
        <v>0</v>
      </c>
      <c r="H25" s="16">
        <v>2</v>
      </c>
      <c r="I25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5" t="str">
        <f>IF(COUNTIF(Table2[Student ID],Table2[[#This Row],[Student ID]])&gt;1,"Duplicate","OK")</f>
        <v>OK</v>
      </c>
      <c r="K25" t="str">
        <f>IF(Table2[[#This Row],[Monthly Payment ($)]]&gt;50, "Unusual","OK")</f>
        <v>OK</v>
      </c>
    </row>
    <row r="26" spans="1:11" x14ac:dyDescent="0.35">
      <c r="A26" s="8" t="s">
        <v>34</v>
      </c>
      <c r="B26" t="s">
        <v>389</v>
      </c>
      <c r="C26" s="8" t="s">
        <v>391</v>
      </c>
      <c r="D26" s="8" t="s">
        <v>396</v>
      </c>
      <c r="E26" s="8" t="s">
        <v>398</v>
      </c>
      <c r="F26" s="10" t="s">
        <v>403</v>
      </c>
      <c r="G26" s="12">
        <v>50</v>
      </c>
      <c r="H26" s="16">
        <v>13</v>
      </c>
      <c r="I26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6" t="str">
        <f>IF(COUNTIF(Table2[Student ID],Table2[[#This Row],[Student ID]])&gt;1,"Duplicate","OK")</f>
        <v>OK</v>
      </c>
      <c r="K26" t="str">
        <f>IF(Table2[[#This Row],[Monthly Payment ($)]]&gt;50, "Unusual","OK")</f>
        <v>OK</v>
      </c>
    </row>
    <row r="27" spans="1:11" x14ac:dyDescent="0.35">
      <c r="A27" s="8" t="s">
        <v>35</v>
      </c>
      <c r="B27" t="s">
        <v>389</v>
      </c>
      <c r="C27" s="8" t="s">
        <v>393</v>
      </c>
      <c r="D27" s="8" t="s">
        <v>397</v>
      </c>
      <c r="E27" s="8" t="s">
        <v>399</v>
      </c>
      <c r="F27" s="10" t="s">
        <v>405</v>
      </c>
      <c r="G27" s="12">
        <v>0</v>
      </c>
      <c r="H27" s="16">
        <v>15</v>
      </c>
      <c r="I27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7" t="str">
        <f>IF(COUNTIF(Table2[Student ID],Table2[[#This Row],[Student ID]])&gt;1,"Duplicate","OK")</f>
        <v>OK</v>
      </c>
      <c r="K27" t="str">
        <f>IF(Table2[[#This Row],[Monthly Payment ($)]]&gt;50, "Unusual","OK")</f>
        <v>OK</v>
      </c>
    </row>
    <row r="28" spans="1:11" x14ac:dyDescent="0.35">
      <c r="A28" s="8" t="s">
        <v>36</v>
      </c>
      <c r="B28" t="s">
        <v>386</v>
      </c>
      <c r="C28" s="8" t="s">
        <v>390</v>
      </c>
      <c r="D28" s="8" t="s">
        <v>396</v>
      </c>
      <c r="E28" s="8" t="s">
        <v>400</v>
      </c>
      <c r="F28" s="10" t="s">
        <v>406</v>
      </c>
      <c r="G28" s="12">
        <v>50</v>
      </c>
      <c r="H28" s="16">
        <v>9</v>
      </c>
      <c r="I28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8" t="str">
        <f>IF(COUNTIF(Table2[Student ID],Table2[[#This Row],[Student ID]])&gt;1,"Duplicate","OK")</f>
        <v>OK</v>
      </c>
      <c r="K28" t="str">
        <f>IF(Table2[[#This Row],[Monthly Payment ($)]]&gt;50, "Unusual","OK")</f>
        <v>OK</v>
      </c>
    </row>
    <row r="29" spans="1:11" x14ac:dyDescent="0.35">
      <c r="A29" s="8" t="s">
        <v>37</v>
      </c>
      <c r="B29" t="s">
        <v>387</v>
      </c>
      <c r="C29" s="8" t="s">
        <v>394</v>
      </c>
      <c r="D29" s="8" t="s">
        <v>397</v>
      </c>
      <c r="E29" s="8" t="s">
        <v>399</v>
      </c>
      <c r="F29" s="10" t="s">
        <v>402</v>
      </c>
      <c r="G29" s="12">
        <v>0</v>
      </c>
      <c r="H29" s="16">
        <v>8</v>
      </c>
      <c r="I29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9" t="str">
        <f>IF(COUNTIF(Table2[Student ID],Table2[[#This Row],[Student ID]])&gt;1,"Duplicate","OK")</f>
        <v>OK</v>
      </c>
      <c r="K29" t="str">
        <f>IF(Table2[[#This Row],[Monthly Payment ($)]]&gt;50, "Unusual","OK")</f>
        <v>OK</v>
      </c>
    </row>
    <row r="30" spans="1:11" x14ac:dyDescent="0.35">
      <c r="A30" s="8" t="s">
        <v>38</v>
      </c>
      <c r="B30" t="s">
        <v>386</v>
      </c>
      <c r="C30" s="8" t="s">
        <v>391</v>
      </c>
      <c r="D30" s="8" t="s">
        <v>395</v>
      </c>
      <c r="E30" s="8" t="s">
        <v>400</v>
      </c>
      <c r="F30" s="10" t="s">
        <v>404</v>
      </c>
      <c r="G30" s="12">
        <v>20</v>
      </c>
      <c r="H30" s="16">
        <v>17</v>
      </c>
      <c r="I30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0" t="str">
        <f>IF(COUNTIF(Table2[Student ID],Table2[[#This Row],[Student ID]])&gt;1,"Duplicate","OK")</f>
        <v>OK</v>
      </c>
      <c r="K30" t="str">
        <f>IF(Table2[[#This Row],[Monthly Payment ($)]]&gt;50, "Unusual","OK")</f>
        <v>OK</v>
      </c>
    </row>
    <row r="31" spans="1:11" x14ac:dyDescent="0.35">
      <c r="A31" s="8" t="s">
        <v>39</v>
      </c>
      <c r="B31" t="s">
        <v>385</v>
      </c>
      <c r="C31" s="8" t="s">
        <v>393</v>
      </c>
      <c r="D31" s="8" t="s">
        <v>395</v>
      </c>
      <c r="E31" s="8" t="s">
        <v>399</v>
      </c>
      <c r="F31" s="10" t="s">
        <v>403</v>
      </c>
      <c r="G31" s="12">
        <v>20</v>
      </c>
      <c r="H31" s="16">
        <v>8</v>
      </c>
      <c r="I31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1" t="str">
        <f>IF(COUNTIF(Table2[Student ID],Table2[[#This Row],[Student ID]])&gt;1,"Duplicate","OK")</f>
        <v>OK</v>
      </c>
      <c r="K31" t="str">
        <f>IF(Table2[[#This Row],[Monthly Payment ($)]]&gt;50, "Unusual","OK")</f>
        <v>OK</v>
      </c>
    </row>
    <row r="32" spans="1:11" x14ac:dyDescent="0.35">
      <c r="A32" s="8" t="s">
        <v>40</v>
      </c>
      <c r="B32" t="s">
        <v>389</v>
      </c>
      <c r="C32" s="8" t="s">
        <v>390</v>
      </c>
      <c r="D32" s="8" t="s">
        <v>396</v>
      </c>
      <c r="E32" s="8" t="s">
        <v>398</v>
      </c>
      <c r="F32" s="10" t="s">
        <v>406</v>
      </c>
      <c r="G32" s="12">
        <v>50</v>
      </c>
      <c r="H32" s="16">
        <v>1</v>
      </c>
      <c r="I32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2" t="str">
        <f>IF(COUNTIF(Table2[Student ID],Table2[[#This Row],[Student ID]])&gt;1,"Duplicate","OK")</f>
        <v>OK</v>
      </c>
      <c r="K32" t="str">
        <f>IF(Table2[[#This Row],[Monthly Payment ($)]]&gt;50, "Unusual","OK")</f>
        <v>OK</v>
      </c>
    </row>
    <row r="33" spans="1:11" x14ac:dyDescent="0.35">
      <c r="A33" s="8" t="s">
        <v>41</v>
      </c>
      <c r="B33" t="s">
        <v>387</v>
      </c>
      <c r="C33" s="8" t="s">
        <v>391</v>
      </c>
      <c r="D33" s="8" t="s">
        <v>397</v>
      </c>
      <c r="E33" s="8" t="s">
        <v>401</v>
      </c>
      <c r="F33" s="10" t="s">
        <v>404</v>
      </c>
      <c r="G33" s="12">
        <v>0</v>
      </c>
      <c r="H33" s="16">
        <v>0</v>
      </c>
      <c r="I33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3" t="str">
        <f>IF(COUNTIF(Table2[Student ID],Table2[[#This Row],[Student ID]])&gt;1,"Duplicate","OK")</f>
        <v>OK</v>
      </c>
      <c r="K33" t="str">
        <f>IF(Table2[[#This Row],[Monthly Payment ($)]]&gt;50, "Unusual","OK")</f>
        <v>OK</v>
      </c>
    </row>
    <row r="34" spans="1:11" x14ac:dyDescent="0.35">
      <c r="A34" s="8" t="s">
        <v>42</v>
      </c>
      <c r="B34" t="s">
        <v>387</v>
      </c>
      <c r="C34" s="8" t="s">
        <v>392</v>
      </c>
      <c r="D34" s="8" t="s">
        <v>396</v>
      </c>
      <c r="E34" s="8" t="s">
        <v>398</v>
      </c>
      <c r="F34" s="10" t="s">
        <v>406</v>
      </c>
      <c r="G34" s="12">
        <v>50</v>
      </c>
      <c r="H34" s="16">
        <v>5</v>
      </c>
      <c r="I34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4" t="str">
        <f>IF(COUNTIF(Table2[Student ID],Table2[[#This Row],[Student ID]])&gt;1,"Duplicate","OK")</f>
        <v>OK</v>
      </c>
      <c r="K34" t="str">
        <f>IF(Table2[[#This Row],[Monthly Payment ($)]]&gt;50, "Unusual","OK")</f>
        <v>OK</v>
      </c>
    </row>
    <row r="35" spans="1:11" x14ac:dyDescent="0.35">
      <c r="A35" s="8" t="s">
        <v>43</v>
      </c>
      <c r="B35" t="s">
        <v>385</v>
      </c>
      <c r="C35" s="8" t="s">
        <v>392</v>
      </c>
      <c r="D35" s="8" t="s">
        <v>396</v>
      </c>
      <c r="E35" s="8" t="s">
        <v>400</v>
      </c>
      <c r="F35" s="10" t="s">
        <v>403</v>
      </c>
      <c r="G35" s="12">
        <v>50</v>
      </c>
      <c r="H35" s="16">
        <v>9</v>
      </c>
      <c r="I35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5" t="str">
        <f>IF(COUNTIF(Table2[Student ID],Table2[[#This Row],[Student ID]])&gt;1,"Duplicate","OK")</f>
        <v>OK</v>
      </c>
      <c r="K35" t="str">
        <f>IF(Table2[[#This Row],[Monthly Payment ($)]]&gt;50, "Unusual","OK")</f>
        <v>OK</v>
      </c>
    </row>
    <row r="36" spans="1:11" x14ac:dyDescent="0.35">
      <c r="A36" s="8" t="s">
        <v>44</v>
      </c>
      <c r="B36" t="s">
        <v>385</v>
      </c>
      <c r="C36" s="8" t="s">
        <v>393</v>
      </c>
      <c r="D36" s="8" t="s">
        <v>397</v>
      </c>
      <c r="E36" s="8" t="s">
        <v>401</v>
      </c>
      <c r="F36" s="10" t="s">
        <v>403</v>
      </c>
      <c r="G36" s="12">
        <v>0</v>
      </c>
      <c r="H36" s="16">
        <v>14</v>
      </c>
      <c r="I36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6" t="str">
        <f>IF(COUNTIF(Table2[Student ID],Table2[[#This Row],[Student ID]])&gt;1,"Duplicate","OK")</f>
        <v>OK</v>
      </c>
      <c r="K36" t="str">
        <f>IF(Table2[[#This Row],[Monthly Payment ($)]]&gt;50, "Unusual","OK")</f>
        <v>OK</v>
      </c>
    </row>
    <row r="37" spans="1:11" x14ac:dyDescent="0.35">
      <c r="A37" s="8" t="s">
        <v>45</v>
      </c>
      <c r="B37" t="s">
        <v>388</v>
      </c>
      <c r="C37" s="8" t="s">
        <v>393</v>
      </c>
      <c r="D37" s="8" t="s">
        <v>396</v>
      </c>
      <c r="E37" s="8" t="s">
        <v>400</v>
      </c>
      <c r="F37" s="10" t="s">
        <v>404</v>
      </c>
      <c r="G37" s="12">
        <v>50</v>
      </c>
      <c r="H37" s="16">
        <v>2</v>
      </c>
      <c r="I37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7" t="str">
        <f>IF(COUNTIF(Table2[Student ID],Table2[[#This Row],[Student ID]])&gt;1,"Duplicate","OK")</f>
        <v>OK</v>
      </c>
      <c r="K37" t="str">
        <f>IF(Table2[[#This Row],[Monthly Payment ($)]]&gt;50, "Unusual","OK")</f>
        <v>OK</v>
      </c>
    </row>
    <row r="38" spans="1:11" x14ac:dyDescent="0.35">
      <c r="A38" s="8" t="s">
        <v>46</v>
      </c>
      <c r="B38" t="s">
        <v>389</v>
      </c>
      <c r="C38" s="8" t="s">
        <v>392</v>
      </c>
      <c r="D38" s="8" t="s">
        <v>395</v>
      </c>
      <c r="E38" s="8" t="s">
        <v>401</v>
      </c>
      <c r="F38" s="10" t="s">
        <v>405</v>
      </c>
      <c r="G38" s="12">
        <v>20</v>
      </c>
      <c r="H38" s="16">
        <v>4</v>
      </c>
      <c r="I38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8" t="str">
        <f>IF(COUNTIF(Table2[Student ID],Table2[[#This Row],[Student ID]])&gt;1,"Duplicate","OK")</f>
        <v>OK</v>
      </c>
      <c r="K38" t="str">
        <f>IF(Table2[[#This Row],[Monthly Payment ($)]]&gt;50, "Unusual","OK")</f>
        <v>OK</v>
      </c>
    </row>
    <row r="39" spans="1:11" x14ac:dyDescent="0.35">
      <c r="A39" s="8" t="s">
        <v>47</v>
      </c>
      <c r="B39" t="s">
        <v>385</v>
      </c>
      <c r="C39" s="8" t="s">
        <v>391</v>
      </c>
      <c r="D39" s="8" t="s">
        <v>397</v>
      </c>
      <c r="E39" s="8" t="s">
        <v>399</v>
      </c>
      <c r="F39" s="10" t="s">
        <v>402</v>
      </c>
      <c r="G39" s="12">
        <v>0</v>
      </c>
      <c r="H39" s="16">
        <v>17</v>
      </c>
      <c r="I39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9" t="str">
        <f>IF(COUNTIF(Table2[Student ID],Table2[[#This Row],[Student ID]])&gt;1,"Duplicate","OK")</f>
        <v>OK</v>
      </c>
      <c r="K39" t="str">
        <f>IF(Table2[[#This Row],[Monthly Payment ($)]]&gt;50, "Unusual","OK")</f>
        <v>OK</v>
      </c>
    </row>
    <row r="40" spans="1:11" x14ac:dyDescent="0.35">
      <c r="A40" s="8" t="s">
        <v>48</v>
      </c>
      <c r="B40" t="s">
        <v>389</v>
      </c>
      <c r="C40" s="8" t="s">
        <v>392</v>
      </c>
      <c r="D40" s="8" t="s">
        <v>396</v>
      </c>
      <c r="E40" s="8" t="s">
        <v>401</v>
      </c>
      <c r="F40" s="10" t="s">
        <v>404</v>
      </c>
      <c r="G40" s="12">
        <v>50</v>
      </c>
      <c r="H40" s="16">
        <v>12</v>
      </c>
      <c r="I40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40" t="str">
        <f>IF(COUNTIF(Table2[Student ID],Table2[[#This Row],[Student ID]])&gt;1,"Duplicate","OK")</f>
        <v>OK</v>
      </c>
      <c r="K40" t="str">
        <f>IF(Table2[[#This Row],[Monthly Payment ($)]]&gt;50, "Unusual","OK")</f>
        <v>OK</v>
      </c>
    </row>
    <row r="41" spans="1:11" x14ac:dyDescent="0.35">
      <c r="A41" s="8" t="s">
        <v>49</v>
      </c>
      <c r="B41" t="s">
        <v>389</v>
      </c>
      <c r="C41" s="8" t="s">
        <v>390</v>
      </c>
      <c r="D41" s="8" t="s">
        <v>396</v>
      </c>
      <c r="E41" s="8" t="s">
        <v>400</v>
      </c>
      <c r="F41" s="10" t="s">
        <v>402</v>
      </c>
      <c r="G41" s="12">
        <v>50</v>
      </c>
      <c r="H41" s="16">
        <v>17</v>
      </c>
      <c r="I41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41" t="str">
        <f>IF(COUNTIF(Table2[Student ID],Table2[[#This Row],[Student ID]])&gt;1,"Duplicate","OK")</f>
        <v>OK</v>
      </c>
      <c r="K41" t="str">
        <f>IF(Table2[[#This Row],[Monthly Payment ($)]]&gt;50, "Unusual","OK")</f>
        <v>OK</v>
      </c>
    </row>
    <row r="42" spans="1:11" x14ac:dyDescent="0.35">
      <c r="A42" s="8" t="s">
        <v>50</v>
      </c>
      <c r="B42" t="s">
        <v>385</v>
      </c>
      <c r="C42" s="8" t="s">
        <v>394</v>
      </c>
      <c r="D42" s="8" t="s">
        <v>396</v>
      </c>
      <c r="E42" s="8" t="s">
        <v>400</v>
      </c>
      <c r="F42" s="10" t="s">
        <v>402</v>
      </c>
      <c r="G42" s="12">
        <v>50</v>
      </c>
      <c r="H42" s="16">
        <v>6</v>
      </c>
      <c r="I42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42" t="str">
        <f>IF(COUNTIF(Table2[Student ID],Table2[[#This Row],[Student ID]])&gt;1,"Duplicate","OK")</f>
        <v>OK</v>
      </c>
      <c r="K42" t="str">
        <f>IF(Table2[[#This Row],[Monthly Payment ($)]]&gt;50, "Unusual","OK")</f>
        <v>OK</v>
      </c>
    </row>
    <row r="43" spans="1:11" x14ac:dyDescent="0.35">
      <c r="A43" s="8" t="s">
        <v>51</v>
      </c>
      <c r="B43" t="s">
        <v>387</v>
      </c>
      <c r="C43" s="8" t="s">
        <v>393</v>
      </c>
      <c r="D43" s="8" t="s">
        <v>395</v>
      </c>
      <c r="E43" s="8" t="s">
        <v>400</v>
      </c>
      <c r="F43" s="10" t="s">
        <v>404</v>
      </c>
      <c r="G43" s="12">
        <v>20</v>
      </c>
      <c r="H43" s="16">
        <v>6</v>
      </c>
      <c r="I43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43" t="str">
        <f>IF(COUNTIF(Table2[Student ID],Table2[[#This Row],[Student ID]])&gt;1,"Duplicate","OK")</f>
        <v>OK</v>
      </c>
      <c r="K43" t="str">
        <f>IF(Table2[[#This Row],[Monthly Payment ($)]]&gt;50, "Unusual","OK")</f>
        <v>OK</v>
      </c>
    </row>
    <row r="44" spans="1:11" x14ac:dyDescent="0.35">
      <c r="A44" s="8" t="s">
        <v>52</v>
      </c>
      <c r="B44" t="s">
        <v>389</v>
      </c>
      <c r="C44" s="8" t="s">
        <v>390</v>
      </c>
      <c r="D44" s="8" t="s">
        <v>395</v>
      </c>
      <c r="E44" s="8" t="s">
        <v>399</v>
      </c>
      <c r="F44" s="10" t="s">
        <v>406</v>
      </c>
      <c r="G44" s="12">
        <v>20</v>
      </c>
      <c r="H44" s="16">
        <v>10</v>
      </c>
      <c r="I44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44" t="str">
        <f>IF(COUNTIF(Table2[Student ID],Table2[[#This Row],[Student ID]])&gt;1,"Duplicate","OK")</f>
        <v>OK</v>
      </c>
      <c r="K44" t="str">
        <f>IF(Table2[[#This Row],[Monthly Payment ($)]]&gt;50, "Unusual","OK")</f>
        <v>OK</v>
      </c>
    </row>
    <row r="45" spans="1:11" x14ac:dyDescent="0.35">
      <c r="A45" s="8" t="s">
        <v>53</v>
      </c>
      <c r="B45" t="s">
        <v>386</v>
      </c>
      <c r="C45" s="8" t="s">
        <v>390</v>
      </c>
      <c r="D45" s="8" t="s">
        <v>396</v>
      </c>
      <c r="E45" s="8" t="s">
        <v>399</v>
      </c>
      <c r="F45" s="10" t="s">
        <v>402</v>
      </c>
      <c r="G45" s="12">
        <v>50</v>
      </c>
      <c r="H45" s="16">
        <v>8</v>
      </c>
      <c r="I45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45" t="str">
        <f>IF(COUNTIF(Table2[Student ID],Table2[[#This Row],[Student ID]])&gt;1,"Duplicate","OK")</f>
        <v>OK</v>
      </c>
      <c r="K45" t="str">
        <f>IF(Table2[[#This Row],[Monthly Payment ($)]]&gt;50, "Unusual","OK")</f>
        <v>OK</v>
      </c>
    </row>
    <row r="46" spans="1:11" x14ac:dyDescent="0.35">
      <c r="A46" s="8" t="s">
        <v>54</v>
      </c>
      <c r="B46" t="s">
        <v>388</v>
      </c>
      <c r="C46" s="8" t="s">
        <v>390</v>
      </c>
      <c r="D46" s="8" t="s">
        <v>395</v>
      </c>
      <c r="E46" s="8" t="s">
        <v>399</v>
      </c>
      <c r="F46" s="10" t="s">
        <v>402</v>
      </c>
      <c r="G46" s="12">
        <v>20</v>
      </c>
      <c r="H46" s="16">
        <v>8</v>
      </c>
      <c r="I46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46" t="str">
        <f>IF(COUNTIF(Table2[Student ID],Table2[[#This Row],[Student ID]])&gt;1,"Duplicate","OK")</f>
        <v>OK</v>
      </c>
      <c r="K46" t="str">
        <f>IF(Table2[[#This Row],[Monthly Payment ($)]]&gt;50, "Unusual","OK")</f>
        <v>OK</v>
      </c>
    </row>
    <row r="47" spans="1:11" x14ac:dyDescent="0.35">
      <c r="A47" s="8" t="s">
        <v>55</v>
      </c>
      <c r="B47" t="s">
        <v>386</v>
      </c>
      <c r="C47" s="8" t="s">
        <v>394</v>
      </c>
      <c r="D47" s="8" t="s">
        <v>396</v>
      </c>
      <c r="E47" s="8" t="s">
        <v>399</v>
      </c>
      <c r="F47" s="10" t="s">
        <v>405</v>
      </c>
      <c r="G47" s="12">
        <v>50</v>
      </c>
      <c r="H47" s="16">
        <v>7</v>
      </c>
      <c r="I47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47" t="str">
        <f>IF(COUNTIF(Table2[Student ID],Table2[[#This Row],[Student ID]])&gt;1,"Duplicate","OK")</f>
        <v>OK</v>
      </c>
      <c r="K47" t="str">
        <f>IF(Table2[[#This Row],[Monthly Payment ($)]]&gt;50, "Unusual","OK")</f>
        <v>OK</v>
      </c>
    </row>
    <row r="48" spans="1:11" x14ac:dyDescent="0.35">
      <c r="A48" s="8" t="s">
        <v>56</v>
      </c>
      <c r="B48" t="s">
        <v>389</v>
      </c>
      <c r="C48" s="8" t="s">
        <v>393</v>
      </c>
      <c r="D48" s="8" t="s">
        <v>396</v>
      </c>
      <c r="E48" s="8" t="s">
        <v>401</v>
      </c>
      <c r="F48" s="10" t="s">
        <v>406</v>
      </c>
      <c r="G48" s="12">
        <v>50</v>
      </c>
      <c r="H48" s="16">
        <v>9</v>
      </c>
      <c r="I48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48" t="str">
        <f>IF(COUNTIF(Table2[Student ID],Table2[[#This Row],[Student ID]])&gt;1,"Duplicate","OK")</f>
        <v>OK</v>
      </c>
      <c r="K48" t="str">
        <f>IF(Table2[[#This Row],[Monthly Payment ($)]]&gt;50, "Unusual","OK")</f>
        <v>OK</v>
      </c>
    </row>
    <row r="49" spans="1:11" x14ac:dyDescent="0.35">
      <c r="A49" s="8" t="s">
        <v>57</v>
      </c>
      <c r="B49" t="s">
        <v>389</v>
      </c>
      <c r="C49" s="8" t="s">
        <v>394</v>
      </c>
      <c r="D49" s="8" t="s">
        <v>397</v>
      </c>
      <c r="E49" s="8" t="s">
        <v>400</v>
      </c>
      <c r="F49" s="10" t="s">
        <v>405</v>
      </c>
      <c r="G49" s="12">
        <v>0</v>
      </c>
      <c r="H49" s="16">
        <v>16</v>
      </c>
      <c r="I49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49" t="str">
        <f>IF(COUNTIF(Table2[Student ID],Table2[[#This Row],[Student ID]])&gt;1,"Duplicate","OK")</f>
        <v>OK</v>
      </c>
      <c r="K49" t="str">
        <f>IF(Table2[[#This Row],[Monthly Payment ($)]]&gt;50, "Unusual","OK")</f>
        <v>OK</v>
      </c>
    </row>
    <row r="50" spans="1:11" x14ac:dyDescent="0.35">
      <c r="A50" s="8" t="s">
        <v>58</v>
      </c>
      <c r="B50" t="s">
        <v>387</v>
      </c>
      <c r="C50" s="8" t="s">
        <v>393</v>
      </c>
      <c r="D50" s="8" t="s">
        <v>396</v>
      </c>
      <c r="E50" s="8" t="s">
        <v>400</v>
      </c>
      <c r="F50" s="10" t="s">
        <v>403</v>
      </c>
      <c r="G50" s="12">
        <v>50</v>
      </c>
      <c r="H50" s="16">
        <v>14</v>
      </c>
      <c r="I50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50" t="str">
        <f>IF(COUNTIF(Table2[Student ID],Table2[[#This Row],[Student ID]])&gt;1,"Duplicate","OK")</f>
        <v>OK</v>
      </c>
      <c r="K50" t="str">
        <f>IF(Table2[[#This Row],[Monthly Payment ($)]]&gt;50, "Unusual","OK")</f>
        <v>OK</v>
      </c>
    </row>
    <row r="51" spans="1:11" x14ac:dyDescent="0.35">
      <c r="A51" s="8" t="s">
        <v>59</v>
      </c>
      <c r="B51" t="s">
        <v>385</v>
      </c>
      <c r="C51" s="8" t="s">
        <v>393</v>
      </c>
      <c r="D51" s="8" t="s">
        <v>396</v>
      </c>
      <c r="E51" s="8" t="s">
        <v>400</v>
      </c>
      <c r="F51" s="10" t="s">
        <v>405</v>
      </c>
      <c r="G51" s="12">
        <v>50</v>
      </c>
      <c r="H51" s="16">
        <v>5</v>
      </c>
      <c r="I51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51" t="str">
        <f>IF(COUNTIF(Table2[Student ID],Table2[[#This Row],[Student ID]])&gt;1,"Duplicate","OK")</f>
        <v>OK</v>
      </c>
      <c r="K51" t="str">
        <f>IF(Table2[[#This Row],[Monthly Payment ($)]]&gt;50, "Unusual","OK")</f>
        <v>OK</v>
      </c>
    </row>
    <row r="52" spans="1:11" x14ac:dyDescent="0.35">
      <c r="A52" s="8" t="s">
        <v>60</v>
      </c>
      <c r="B52" t="s">
        <v>386</v>
      </c>
      <c r="C52" s="8" t="s">
        <v>391</v>
      </c>
      <c r="D52" s="8" t="s">
        <v>395</v>
      </c>
      <c r="E52" s="8" t="s">
        <v>400</v>
      </c>
      <c r="F52" s="10" t="s">
        <v>404</v>
      </c>
      <c r="G52" s="12">
        <v>20</v>
      </c>
      <c r="H52" s="16">
        <v>8</v>
      </c>
      <c r="I52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52" t="str">
        <f>IF(COUNTIF(Table2[Student ID],Table2[[#This Row],[Student ID]])&gt;1,"Duplicate","OK")</f>
        <v>OK</v>
      </c>
      <c r="K52" t="str">
        <f>IF(Table2[[#This Row],[Monthly Payment ($)]]&gt;50, "Unusual","OK")</f>
        <v>OK</v>
      </c>
    </row>
    <row r="53" spans="1:11" x14ac:dyDescent="0.35">
      <c r="A53" s="8" t="s">
        <v>61</v>
      </c>
      <c r="B53" t="s">
        <v>387</v>
      </c>
      <c r="C53" s="8" t="s">
        <v>394</v>
      </c>
      <c r="D53" s="8" t="s">
        <v>397</v>
      </c>
      <c r="E53" s="8" t="s">
        <v>399</v>
      </c>
      <c r="F53" s="10" t="s">
        <v>405</v>
      </c>
      <c r="G53" s="12">
        <v>0</v>
      </c>
      <c r="H53" s="16">
        <v>16</v>
      </c>
      <c r="I53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53" t="str">
        <f>IF(COUNTIF(Table2[Student ID],Table2[[#This Row],[Student ID]])&gt;1,"Duplicate","OK")</f>
        <v>OK</v>
      </c>
      <c r="K53" t="str">
        <f>IF(Table2[[#This Row],[Monthly Payment ($)]]&gt;50, "Unusual","OK")</f>
        <v>OK</v>
      </c>
    </row>
    <row r="54" spans="1:11" x14ac:dyDescent="0.35">
      <c r="A54" s="8" t="s">
        <v>62</v>
      </c>
      <c r="B54" t="s">
        <v>387</v>
      </c>
      <c r="C54" s="8" t="s">
        <v>392</v>
      </c>
      <c r="D54" s="8" t="s">
        <v>395</v>
      </c>
      <c r="E54" s="8" t="s">
        <v>401</v>
      </c>
      <c r="F54" s="10" t="s">
        <v>405</v>
      </c>
      <c r="G54" s="12">
        <v>20</v>
      </c>
      <c r="H54" s="16">
        <v>10</v>
      </c>
      <c r="I54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54" t="str">
        <f>IF(COUNTIF(Table2[Student ID],Table2[[#This Row],[Student ID]])&gt;1,"Duplicate","OK")</f>
        <v>OK</v>
      </c>
      <c r="K54" t="str">
        <f>IF(Table2[[#This Row],[Monthly Payment ($)]]&gt;50, "Unusual","OK")</f>
        <v>OK</v>
      </c>
    </row>
    <row r="55" spans="1:11" x14ac:dyDescent="0.35">
      <c r="A55" s="8" t="s">
        <v>63</v>
      </c>
      <c r="B55" t="s">
        <v>385</v>
      </c>
      <c r="C55" s="8" t="s">
        <v>391</v>
      </c>
      <c r="D55" s="8" t="s">
        <v>395</v>
      </c>
      <c r="E55" s="8" t="s">
        <v>401</v>
      </c>
      <c r="F55" s="10" t="s">
        <v>406</v>
      </c>
      <c r="G55" s="12">
        <v>20</v>
      </c>
      <c r="H55" s="16">
        <v>11</v>
      </c>
      <c r="I55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55" t="str">
        <f>IF(COUNTIF(Table2[Student ID],Table2[[#This Row],[Student ID]])&gt;1,"Duplicate","OK")</f>
        <v>OK</v>
      </c>
      <c r="K55" t="str">
        <f>IF(Table2[[#This Row],[Monthly Payment ($)]]&gt;50, "Unusual","OK")</f>
        <v>OK</v>
      </c>
    </row>
    <row r="56" spans="1:11" x14ac:dyDescent="0.35">
      <c r="A56" s="8" t="s">
        <v>64</v>
      </c>
      <c r="B56" t="s">
        <v>389</v>
      </c>
      <c r="C56" s="8" t="s">
        <v>393</v>
      </c>
      <c r="D56" s="8" t="s">
        <v>397</v>
      </c>
      <c r="E56" s="8" t="s">
        <v>398</v>
      </c>
      <c r="F56" s="10" t="s">
        <v>402</v>
      </c>
      <c r="G56" s="12">
        <v>0</v>
      </c>
      <c r="H56" s="16">
        <v>1</v>
      </c>
      <c r="I56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56" t="str">
        <f>IF(COUNTIF(Table2[Student ID],Table2[[#This Row],[Student ID]])&gt;1,"Duplicate","OK")</f>
        <v>OK</v>
      </c>
      <c r="K56" t="str">
        <f>IF(Table2[[#This Row],[Monthly Payment ($)]]&gt;50, "Unusual","OK")</f>
        <v>OK</v>
      </c>
    </row>
    <row r="57" spans="1:11" x14ac:dyDescent="0.35">
      <c r="A57" s="8" t="s">
        <v>65</v>
      </c>
      <c r="B57" t="s">
        <v>387</v>
      </c>
      <c r="C57" s="8" t="s">
        <v>394</v>
      </c>
      <c r="D57" s="8" t="s">
        <v>395</v>
      </c>
      <c r="E57" s="8" t="s">
        <v>399</v>
      </c>
      <c r="F57" s="10" t="s">
        <v>406</v>
      </c>
      <c r="G57" s="12">
        <v>20</v>
      </c>
      <c r="H57" s="16">
        <v>2</v>
      </c>
      <c r="I57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57" t="str">
        <f>IF(COUNTIF(Table2[Student ID],Table2[[#This Row],[Student ID]])&gt;1,"Duplicate","OK")</f>
        <v>OK</v>
      </c>
      <c r="K57" t="str">
        <f>IF(Table2[[#This Row],[Monthly Payment ($)]]&gt;50, "Unusual","OK")</f>
        <v>OK</v>
      </c>
    </row>
    <row r="58" spans="1:11" x14ac:dyDescent="0.35">
      <c r="A58" s="8" t="s">
        <v>66</v>
      </c>
      <c r="B58" t="s">
        <v>385</v>
      </c>
      <c r="C58" s="8" t="s">
        <v>390</v>
      </c>
      <c r="D58" s="8" t="s">
        <v>396</v>
      </c>
      <c r="E58" s="8" t="s">
        <v>398</v>
      </c>
      <c r="F58" s="10" t="s">
        <v>406</v>
      </c>
      <c r="G58" s="12">
        <v>50</v>
      </c>
      <c r="H58" s="16">
        <v>13</v>
      </c>
      <c r="I58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58" t="str">
        <f>IF(COUNTIF(Table2[Student ID],Table2[[#This Row],[Student ID]])&gt;1,"Duplicate","OK")</f>
        <v>OK</v>
      </c>
      <c r="K58" t="str">
        <f>IF(Table2[[#This Row],[Monthly Payment ($)]]&gt;50, "Unusual","OK")</f>
        <v>OK</v>
      </c>
    </row>
    <row r="59" spans="1:11" x14ac:dyDescent="0.35">
      <c r="A59" s="8" t="s">
        <v>67</v>
      </c>
      <c r="B59" t="s">
        <v>389</v>
      </c>
      <c r="C59" s="8" t="s">
        <v>393</v>
      </c>
      <c r="D59" s="8" t="s">
        <v>396</v>
      </c>
      <c r="E59" s="8" t="s">
        <v>401</v>
      </c>
      <c r="F59" s="10" t="s">
        <v>404</v>
      </c>
      <c r="G59" s="12">
        <v>50</v>
      </c>
      <c r="H59" s="16">
        <v>20</v>
      </c>
      <c r="I59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59" t="str">
        <f>IF(COUNTIF(Table2[Student ID],Table2[[#This Row],[Student ID]])&gt;1,"Duplicate","OK")</f>
        <v>OK</v>
      </c>
      <c r="K59" t="str">
        <f>IF(Table2[[#This Row],[Monthly Payment ($)]]&gt;50, "Unusual","OK")</f>
        <v>OK</v>
      </c>
    </row>
    <row r="60" spans="1:11" x14ac:dyDescent="0.35">
      <c r="A60" s="8" t="s">
        <v>68</v>
      </c>
      <c r="B60" t="s">
        <v>388</v>
      </c>
      <c r="C60" s="8" t="s">
        <v>390</v>
      </c>
      <c r="D60" s="8" t="s">
        <v>395</v>
      </c>
      <c r="E60" s="8" t="s">
        <v>401</v>
      </c>
      <c r="F60" s="10" t="s">
        <v>405</v>
      </c>
      <c r="G60" s="12">
        <v>20</v>
      </c>
      <c r="H60" s="16">
        <v>3</v>
      </c>
      <c r="I60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60" t="str">
        <f>IF(COUNTIF(Table2[Student ID],Table2[[#This Row],[Student ID]])&gt;1,"Duplicate","OK")</f>
        <v>OK</v>
      </c>
      <c r="K60" t="str">
        <f>IF(Table2[[#This Row],[Monthly Payment ($)]]&gt;50, "Unusual","OK")</f>
        <v>OK</v>
      </c>
    </row>
    <row r="61" spans="1:11" x14ac:dyDescent="0.35">
      <c r="A61" s="8" t="s">
        <v>69</v>
      </c>
      <c r="B61" t="s">
        <v>386</v>
      </c>
      <c r="C61" s="8" t="s">
        <v>392</v>
      </c>
      <c r="D61" s="8" t="s">
        <v>396</v>
      </c>
      <c r="E61" s="8" t="s">
        <v>401</v>
      </c>
      <c r="F61" s="10" t="s">
        <v>403</v>
      </c>
      <c r="G61" s="12">
        <v>50</v>
      </c>
      <c r="H61" s="16">
        <v>1</v>
      </c>
      <c r="I61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61" t="str">
        <f>IF(COUNTIF(Table2[Student ID],Table2[[#This Row],[Student ID]])&gt;1,"Duplicate","OK")</f>
        <v>OK</v>
      </c>
      <c r="K61" t="str">
        <f>IF(Table2[[#This Row],[Monthly Payment ($)]]&gt;50, "Unusual","OK")</f>
        <v>OK</v>
      </c>
    </row>
    <row r="62" spans="1:11" x14ac:dyDescent="0.35">
      <c r="A62" s="8" t="s">
        <v>70</v>
      </c>
      <c r="B62" t="s">
        <v>385</v>
      </c>
      <c r="C62" s="8" t="s">
        <v>393</v>
      </c>
      <c r="D62" s="8" t="s">
        <v>396</v>
      </c>
      <c r="E62" s="8" t="s">
        <v>400</v>
      </c>
      <c r="F62" s="10" t="s">
        <v>406</v>
      </c>
      <c r="G62" s="12">
        <v>50</v>
      </c>
      <c r="H62" s="16">
        <v>12</v>
      </c>
      <c r="I62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62" t="str">
        <f>IF(COUNTIF(Table2[Student ID],Table2[[#This Row],[Student ID]])&gt;1,"Duplicate","OK")</f>
        <v>OK</v>
      </c>
      <c r="K62" t="str">
        <f>IF(Table2[[#This Row],[Monthly Payment ($)]]&gt;50, "Unusual","OK")</f>
        <v>OK</v>
      </c>
    </row>
    <row r="63" spans="1:11" x14ac:dyDescent="0.35">
      <c r="A63" s="8" t="s">
        <v>71</v>
      </c>
      <c r="B63" t="s">
        <v>389</v>
      </c>
      <c r="C63" s="8" t="s">
        <v>390</v>
      </c>
      <c r="D63" s="8" t="s">
        <v>396</v>
      </c>
      <c r="E63" s="8" t="s">
        <v>399</v>
      </c>
      <c r="F63" s="10" t="s">
        <v>404</v>
      </c>
      <c r="G63" s="12">
        <v>50</v>
      </c>
      <c r="H63" s="16">
        <v>7</v>
      </c>
      <c r="I63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63" t="str">
        <f>IF(COUNTIF(Table2[Student ID],Table2[[#This Row],[Student ID]])&gt;1,"Duplicate","OK")</f>
        <v>OK</v>
      </c>
      <c r="K63" t="str">
        <f>IF(Table2[[#This Row],[Monthly Payment ($)]]&gt;50, "Unusual","OK")</f>
        <v>OK</v>
      </c>
    </row>
    <row r="64" spans="1:11" x14ac:dyDescent="0.35">
      <c r="A64" s="8" t="s">
        <v>72</v>
      </c>
      <c r="B64" t="s">
        <v>389</v>
      </c>
      <c r="C64" s="8" t="s">
        <v>391</v>
      </c>
      <c r="D64" s="8" t="s">
        <v>396</v>
      </c>
      <c r="E64" s="8" t="s">
        <v>398</v>
      </c>
      <c r="F64" s="10" t="s">
        <v>402</v>
      </c>
      <c r="G64" s="12">
        <v>50</v>
      </c>
      <c r="H64" s="16">
        <v>17</v>
      </c>
      <c r="I64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64" t="str">
        <f>IF(COUNTIF(Table2[Student ID],Table2[[#This Row],[Student ID]])&gt;1,"Duplicate","OK")</f>
        <v>OK</v>
      </c>
      <c r="K64" t="str">
        <f>IF(Table2[[#This Row],[Monthly Payment ($)]]&gt;50, "Unusual","OK")</f>
        <v>OK</v>
      </c>
    </row>
    <row r="65" spans="1:11" x14ac:dyDescent="0.35">
      <c r="A65" s="8" t="s">
        <v>73</v>
      </c>
      <c r="B65" t="s">
        <v>385</v>
      </c>
      <c r="C65" s="8" t="s">
        <v>394</v>
      </c>
      <c r="D65" s="8" t="s">
        <v>397</v>
      </c>
      <c r="E65" s="8" t="s">
        <v>399</v>
      </c>
      <c r="F65" s="10" t="s">
        <v>403</v>
      </c>
      <c r="G65" s="12">
        <v>0</v>
      </c>
      <c r="H65" s="16">
        <v>17</v>
      </c>
      <c r="I65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65" t="str">
        <f>IF(COUNTIF(Table2[Student ID],Table2[[#This Row],[Student ID]])&gt;1,"Duplicate","OK")</f>
        <v>OK</v>
      </c>
      <c r="K65" t="str">
        <f>IF(Table2[[#This Row],[Monthly Payment ($)]]&gt;50, "Unusual","OK")</f>
        <v>OK</v>
      </c>
    </row>
    <row r="66" spans="1:11" x14ac:dyDescent="0.35">
      <c r="A66" s="8" t="s">
        <v>74</v>
      </c>
      <c r="B66" t="s">
        <v>389</v>
      </c>
      <c r="C66" s="8" t="s">
        <v>391</v>
      </c>
      <c r="D66" s="8" t="s">
        <v>396</v>
      </c>
      <c r="E66" s="8" t="s">
        <v>398</v>
      </c>
      <c r="F66" s="10" t="s">
        <v>406</v>
      </c>
      <c r="G66" s="12">
        <v>50</v>
      </c>
      <c r="H66" s="16">
        <v>20</v>
      </c>
      <c r="I66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66" t="str">
        <f>IF(COUNTIF(Table2[Student ID],Table2[[#This Row],[Student ID]])&gt;1,"Duplicate","OK")</f>
        <v>OK</v>
      </c>
      <c r="K66" t="str">
        <f>IF(Table2[[#This Row],[Monthly Payment ($)]]&gt;50, "Unusual","OK")</f>
        <v>OK</v>
      </c>
    </row>
    <row r="67" spans="1:11" x14ac:dyDescent="0.35">
      <c r="A67" s="8" t="s">
        <v>75</v>
      </c>
      <c r="B67" t="s">
        <v>386</v>
      </c>
      <c r="C67" s="8" t="s">
        <v>390</v>
      </c>
      <c r="D67" s="8" t="s">
        <v>395</v>
      </c>
      <c r="E67" s="8" t="s">
        <v>401</v>
      </c>
      <c r="F67" s="10" t="s">
        <v>404</v>
      </c>
      <c r="G67" s="12">
        <v>20</v>
      </c>
      <c r="H67" s="16">
        <v>15</v>
      </c>
      <c r="I67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67" t="str">
        <f>IF(COUNTIF(Table2[Student ID],Table2[[#This Row],[Student ID]])&gt;1,"Duplicate","OK")</f>
        <v>OK</v>
      </c>
      <c r="K67" t="str">
        <f>IF(Table2[[#This Row],[Monthly Payment ($)]]&gt;50, "Unusual","OK")</f>
        <v>OK</v>
      </c>
    </row>
    <row r="68" spans="1:11" x14ac:dyDescent="0.35">
      <c r="A68" s="8" t="s">
        <v>76</v>
      </c>
      <c r="B68" t="s">
        <v>386</v>
      </c>
      <c r="C68" s="8" t="s">
        <v>393</v>
      </c>
      <c r="D68" s="8" t="s">
        <v>395</v>
      </c>
      <c r="E68" s="8" t="s">
        <v>400</v>
      </c>
      <c r="F68" s="10" t="s">
        <v>403</v>
      </c>
      <c r="G68" s="12">
        <v>20</v>
      </c>
      <c r="H68" s="16">
        <v>11</v>
      </c>
      <c r="I68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68" t="str">
        <f>IF(COUNTIF(Table2[Student ID],Table2[[#This Row],[Student ID]])&gt;1,"Duplicate","OK")</f>
        <v>OK</v>
      </c>
      <c r="K68" t="str">
        <f>IF(Table2[[#This Row],[Monthly Payment ($)]]&gt;50, "Unusual","OK")</f>
        <v>OK</v>
      </c>
    </row>
    <row r="69" spans="1:11" x14ac:dyDescent="0.35">
      <c r="A69" s="8" t="s">
        <v>77</v>
      </c>
      <c r="B69" t="s">
        <v>389</v>
      </c>
      <c r="C69" s="8" t="s">
        <v>393</v>
      </c>
      <c r="D69" s="8" t="s">
        <v>397</v>
      </c>
      <c r="E69" s="8" t="s">
        <v>398</v>
      </c>
      <c r="F69" s="10" t="s">
        <v>406</v>
      </c>
      <c r="G69" s="12">
        <v>0</v>
      </c>
      <c r="H69" s="16">
        <v>16</v>
      </c>
      <c r="I69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69" t="str">
        <f>IF(COUNTIF(Table2[Student ID],Table2[[#This Row],[Student ID]])&gt;1,"Duplicate","OK")</f>
        <v>OK</v>
      </c>
      <c r="K69" t="str">
        <f>IF(Table2[[#This Row],[Monthly Payment ($)]]&gt;50, "Unusual","OK")</f>
        <v>OK</v>
      </c>
    </row>
    <row r="70" spans="1:11" x14ac:dyDescent="0.35">
      <c r="A70" s="8" t="s">
        <v>78</v>
      </c>
      <c r="B70" t="s">
        <v>385</v>
      </c>
      <c r="C70" s="8" t="s">
        <v>394</v>
      </c>
      <c r="D70" s="8" t="s">
        <v>395</v>
      </c>
      <c r="E70" s="8" t="s">
        <v>400</v>
      </c>
      <c r="F70" s="10" t="s">
        <v>406</v>
      </c>
      <c r="G70" s="12">
        <v>20</v>
      </c>
      <c r="H70" s="16">
        <v>10</v>
      </c>
      <c r="I70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70" t="str">
        <f>IF(COUNTIF(Table2[Student ID],Table2[[#This Row],[Student ID]])&gt;1,"Duplicate","OK")</f>
        <v>OK</v>
      </c>
      <c r="K70" t="str">
        <f>IF(Table2[[#This Row],[Monthly Payment ($)]]&gt;50, "Unusual","OK")</f>
        <v>OK</v>
      </c>
    </row>
    <row r="71" spans="1:11" x14ac:dyDescent="0.35">
      <c r="A71" s="8" t="s">
        <v>79</v>
      </c>
      <c r="B71" t="s">
        <v>389</v>
      </c>
      <c r="C71" s="8" t="s">
        <v>392</v>
      </c>
      <c r="D71" s="8" t="s">
        <v>397</v>
      </c>
      <c r="E71" s="8" t="s">
        <v>401</v>
      </c>
      <c r="F71" s="10" t="s">
        <v>404</v>
      </c>
      <c r="G71" s="12">
        <v>0</v>
      </c>
      <c r="H71" s="16">
        <v>7</v>
      </c>
      <c r="I71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71" t="str">
        <f>IF(COUNTIF(Table2[Student ID],Table2[[#This Row],[Student ID]])&gt;1,"Duplicate","OK")</f>
        <v>OK</v>
      </c>
      <c r="K71" t="str">
        <f>IF(Table2[[#This Row],[Monthly Payment ($)]]&gt;50, "Unusual","OK")</f>
        <v>OK</v>
      </c>
    </row>
    <row r="72" spans="1:11" x14ac:dyDescent="0.35">
      <c r="A72" s="8" t="s">
        <v>80</v>
      </c>
      <c r="B72" t="s">
        <v>389</v>
      </c>
      <c r="C72" s="8" t="s">
        <v>393</v>
      </c>
      <c r="D72" s="8" t="s">
        <v>396</v>
      </c>
      <c r="E72" s="8" t="s">
        <v>401</v>
      </c>
      <c r="F72" s="10" t="s">
        <v>402</v>
      </c>
      <c r="G72" s="12">
        <v>50</v>
      </c>
      <c r="H72" s="16">
        <v>13</v>
      </c>
      <c r="I72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72" t="str">
        <f>IF(COUNTIF(Table2[Student ID],Table2[[#This Row],[Student ID]])&gt;1,"Duplicate","OK")</f>
        <v>OK</v>
      </c>
      <c r="K72" t="str">
        <f>IF(Table2[[#This Row],[Monthly Payment ($)]]&gt;50, "Unusual","OK")</f>
        <v>OK</v>
      </c>
    </row>
    <row r="73" spans="1:11" x14ac:dyDescent="0.35">
      <c r="A73" s="8" t="s">
        <v>81</v>
      </c>
      <c r="B73" t="s">
        <v>387</v>
      </c>
      <c r="C73" s="8" t="s">
        <v>393</v>
      </c>
      <c r="D73" s="8" t="s">
        <v>397</v>
      </c>
      <c r="E73" s="8" t="s">
        <v>398</v>
      </c>
      <c r="F73" s="10" t="s">
        <v>406</v>
      </c>
      <c r="G73" s="12">
        <v>0</v>
      </c>
      <c r="H73" s="16">
        <v>10</v>
      </c>
      <c r="I73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73" t="str">
        <f>IF(COUNTIF(Table2[Student ID],Table2[[#This Row],[Student ID]])&gt;1,"Duplicate","OK")</f>
        <v>OK</v>
      </c>
      <c r="K73" t="str">
        <f>IF(Table2[[#This Row],[Monthly Payment ($)]]&gt;50, "Unusual","OK")</f>
        <v>OK</v>
      </c>
    </row>
    <row r="74" spans="1:11" x14ac:dyDescent="0.35">
      <c r="A74" s="8" t="s">
        <v>82</v>
      </c>
      <c r="B74" t="s">
        <v>389</v>
      </c>
      <c r="C74" s="8" t="s">
        <v>394</v>
      </c>
      <c r="D74" s="8" t="s">
        <v>397</v>
      </c>
      <c r="E74" s="8" t="s">
        <v>400</v>
      </c>
      <c r="F74" s="10" t="s">
        <v>404</v>
      </c>
      <c r="G74" s="12">
        <v>0</v>
      </c>
      <c r="H74" s="16">
        <v>18</v>
      </c>
      <c r="I74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74" t="str">
        <f>IF(COUNTIF(Table2[Student ID],Table2[[#This Row],[Student ID]])&gt;1,"Duplicate","OK")</f>
        <v>OK</v>
      </c>
      <c r="K74" t="str">
        <f>IF(Table2[[#This Row],[Monthly Payment ($)]]&gt;50, "Unusual","OK")</f>
        <v>OK</v>
      </c>
    </row>
    <row r="75" spans="1:11" x14ac:dyDescent="0.35">
      <c r="A75" s="8" t="s">
        <v>83</v>
      </c>
      <c r="B75" t="s">
        <v>388</v>
      </c>
      <c r="C75" s="8" t="s">
        <v>393</v>
      </c>
      <c r="D75" s="8" t="s">
        <v>395</v>
      </c>
      <c r="E75" s="8" t="s">
        <v>400</v>
      </c>
      <c r="F75" s="10" t="s">
        <v>405</v>
      </c>
      <c r="G75" s="12">
        <v>20</v>
      </c>
      <c r="H75" s="16">
        <v>4</v>
      </c>
      <c r="I75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75" t="str">
        <f>IF(COUNTIF(Table2[Student ID],Table2[[#This Row],[Student ID]])&gt;1,"Duplicate","OK")</f>
        <v>OK</v>
      </c>
      <c r="K75" t="str">
        <f>IF(Table2[[#This Row],[Monthly Payment ($)]]&gt;50, "Unusual","OK")</f>
        <v>OK</v>
      </c>
    </row>
    <row r="76" spans="1:11" x14ac:dyDescent="0.35">
      <c r="A76" s="8" t="s">
        <v>84</v>
      </c>
      <c r="B76" t="s">
        <v>389</v>
      </c>
      <c r="C76" s="8" t="s">
        <v>392</v>
      </c>
      <c r="D76" s="8" t="s">
        <v>397</v>
      </c>
      <c r="E76" s="8" t="s">
        <v>401</v>
      </c>
      <c r="F76" s="10" t="s">
        <v>402</v>
      </c>
      <c r="G76" s="12">
        <v>0</v>
      </c>
      <c r="H76" s="16">
        <v>0</v>
      </c>
      <c r="I76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76" t="str">
        <f>IF(COUNTIF(Table2[Student ID],Table2[[#This Row],[Student ID]])&gt;1,"Duplicate","OK")</f>
        <v>OK</v>
      </c>
      <c r="K76" t="str">
        <f>IF(Table2[[#This Row],[Monthly Payment ($)]]&gt;50, "Unusual","OK")</f>
        <v>OK</v>
      </c>
    </row>
    <row r="77" spans="1:11" x14ac:dyDescent="0.35">
      <c r="A77" s="8" t="s">
        <v>85</v>
      </c>
      <c r="B77" t="s">
        <v>386</v>
      </c>
      <c r="C77" s="8" t="s">
        <v>394</v>
      </c>
      <c r="D77" s="8" t="s">
        <v>395</v>
      </c>
      <c r="E77" s="8" t="s">
        <v>400</v>
      </c>
      <c r="F77" s="10" t="s">
        <v>404</v>
      </c>
      <c r="G77" s="12">
        <v>20</v>
      </c>
      <c r="H77" s="16">
        <v>2</v>
      </c>
      <c r="I77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77" t="str">
        <f>IF(COUNTIF(Table2[Student ID],Table2[[#This Row],[Student ID]])&gt;1,"Duplicate","OK")</f>
        <v>OK</v>
      </c>
      <c r="K77" t="str">
        <f>IF(Table2[[#This Row],[Monthly Payment ($)]]&gt;50, "Unusual","OK")</f>
        <v>OK</v>
      </c>
    </row>
    <row r="78" spans="1:11" x14ac:dyDescent="0.35">
      <c r="A78" s="8" t="s">
        <v>86</v>
      </c>
      <c r="B78" t="s">
        <v>386</v>
      </c>
      <c r="C78" s="8" t="s">
        <v>391</v>
      </c>
      <c r="D78" s="8" t="s">
        <v>395</v>
      </c>
      <c r="E78" s="8" t="s">
        <v>401</v>
      </c>
      <c r="F78" s="10" t="s">
        <v>404</v>
      </c>
      <c r="G78" s="12">
        <v>20</v>
      </c>
      <c r="H78" s="16">
        <v>14</v>
      </c>
      <c r="I78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78" t="str">
        <f>IF(COUNTIF(Table2[Student ID],Table2[[#This Row],[Student ID]])&gt;1,"Duplicate","OK")</f>
        <v>OK</v>
      </c>
      <c r="K78" t="str">
        <f>IF(Table2[[#This Row],[Monthly Payment ($)]]&gt;50, "Unusual","OK")</f>
        <v>OK</v>
      </c>
    </row>
    <row r="79" spans="1:11" x14ac:dyDescent="0.35">
      <c r="A79" s="8" t="s">
        <v>87</v>
      </c>
      <c r="B79" t="s">
        <v>388</v>
      </c>
      <c r="C79" s="8" t="s">
        <v>394</v>
      </c>
      <c r="D79" s="8" t="s">
        <v>397</v>
      </c>
      <c r="E79" s="8" t="s">
        <v>400</v>
      </c>
      <c r="F79" s="10" t="s">
        <v>402</v>
      </c>
      <c r="G79" s="12">
        <v>0</v>
      </c>
      <c r="H79" s="16">
        <v>3</v>
      </c>
      <c r="I79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79" t="str">
        <f>IF(COUNTIF(Table2[Student ID],Table2[[#This Row],[Student ID]])&gt;1,"Duplicate","OK")</f>
        <v>OK</v>
      </c>
      <c r="K79" t="str">
        <f>IF(Table2[[#This Row],[Monthly Payment ($)]]&gt;50, "Unusual","OK")</f>
        <v>OK</v>
      </c>
    </row>
    <row r="80" spans="1:11" x14ac:dyDescent="0.35">
      <c r="A80" s="8" t="s">
        <v>88</v>
      </c>
      <c r="B80" t="s">
        <v>387</v>
      </c>
      <c r="C80" s="8" t="s">
        <v>394</v>
      </c>
      <c r="D80" s="8" t="s">
        <v>397</v>
      </c>
      <c r="E80" s="8" t="s">
        <v>399</v>
      </c>
      <c r="F80" s="10" t="s">
        <v>403</v>
      </c>
      <c r="G80" s="12">
        <v>0</v>
      </c>
      <c r="H80" s="16">
        <v>11</v>
      </c>
      <c r="I80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80" t="str">
        <f>IF(COUNTIF(Table2[Student ID],Table2[[#This Row],[Student ID]])&gt;1,"Duplicate","OK")</f>
        <v>OK</v>
      </c>
      <c r="K80" t="str">
        <f>IF(Table2[[#This Row],[Monthly Payment ($)]]&gt;50, "Unusual","OK")</f>
        <v>OK</v>
      </c>
    </row>
    <row r="81" spans="1:11" x14ac:dyDescent="0.35">
      <c r="A81" s="8" t="s">
        <v>89</v>
      </c>
      <c r="B81" t="s">
        <v>385</v>
      </c>
      <c r="C81" s="8" t="s">
        <v>392</v>
      </c>
      <c r="D81" s="8" t="s">
        <v>396</v>
      </c>
      <c r="E81" s="8" t="s">
        <v>398</v>
      </c>
      <c r="F81" s="10" t="s">
        <v>406</v>
      </c>
      <c r="G81" s="12">
        <v>50</v>
      </c>
      <c r="H81" s="16">
        <v>8</v>
      </c>
      <c r="I81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81" t="str">
        <f>IF(COUNTIF(Table2[Student ID],Table2[[#This Row],[Student ID]])&gt;1,"Duplicate","OK")</f>
        <v>OK</v>
      </c>
      <c r="K81" t="str">
        <f>IF(Table2[[#This Row],[Monthly Payment ($)]]&gt;50, "Unusual","OK")</f>
        <v>OK</v>
      </c>
    </row>
    <row r="82" spans="1:11" x14ac:dyDescent="0.35">
      <c r="A82" s="8" t="s">
        <v>90</v>
      </c>
      <c r="B82" t="s">
        <v>388</v>
      </c>
      <c r="C82" s="8" t="s">
        <v>393</v>
      </c>
      <c r="D82" s="8" t="s">
        <v>395</v>
      </c>
      <c r="E82" s="8" t="s">
        <v>399</v>
      </c>
      <c r="F82" s="10" t="s">
        <v>406</v>
      </c>
      <c r="G82" s="12">
        <v>20</v>
      </c>
      <c r="H82" s="16">
        <v>5</v>
      </c>
      <c r="I82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82" t="str">
        <f>IF(COUNTIF(Table2[Student ID],Table2[[#This Row],[Student ID]])&gt;1,"Duplicate","OK")</f>
        <v>OK</v>
      </c>
      <c r="K82" t="str">
        <f>IF(Table2[[#This Row],[Monthly Payment ($)]]&gt;50, "Unusual","OK")</f>
        <v>OK</v>
      </c>
    </row>
    <row r="83" spans="1:11" x14ac:dyDescent="0.35">
      <c r="A83" s="8" t="s">
        <v>91</v>
      </c>
      <c r="B83" t="s">
        <v>389</v>
      </c>
      <c r="C83" s="8" t="s">
        <v>391</v>
      </c>
      <c r="D83" s="8" t="s">
        <v>396</v>
      </c>
      <c r="E83" s="8" t="s">
        <v>400</v>
      </c>
      <c r="F83" s="10" t="s">
        <v>402</v>
      </c>
      <c r="G83" s="12">
        <v>50</v>
      </c>
      <c r="H83" s="16">
        <v>1</v>
      </c>
      <c r="I83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83" t="str">
        <f>IF(COUNTIF(Table2[Student ID],Table2[[#This Row],[Student ID]])&gt;1,"Duplicate","OK")</f>
        <v>OK</v>
      </c>
      <c r="K83" t="str">
        <f>IF(Table2[[#This Row],[Monthly Payment ($)]]&gt;50, "Unusual","OK")</f>
        <v>OK</v>
      </c>
    </row>
    <row r="84" spans="1:11" x14ac:dyDescent="0.35">
      <c r="A84" s="8" t="s">
        <v>92</v>
      </c>
      <c r="B84" t="s">
        <v>389</v>
      </c>
      <c r="C84" s="8" t="s">
        <v>393</v>
      </c>
      <c r="D84" s="8" t="s">
        <v>396</v>
      </c>
      <c r="E84" s="8" t="s">
        <v>400</v>
      </c>
      <c r="F84" s="10" t="s">
        <v>402</v>
      </c>
      <c r="G84" s="12">
        <v>50</v>
      </c>
      <c r="H84" s="16">
        <v>12</v>
      </c>
      <c r="I84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84" t="str">
        <f>IF(COUNTIF(Table2[Student ID],Table2[[#This Row],[Student ID]])&gt;1,"Duplicate","OK")</f>
        <v>OK</v>
      </c>
      <c r="K84" t="str">
        <f>IF(Table2[[#This Row],[Monthly Payment ($)]]&gt;50, "Unusual","OK")</f>
        <v>OK</v>
      </c>
    </row>
    <row r="85" spans="1:11" x14ac:dyDescent="0.35">
      <c r="A85" s="8" t="s">
        <v>93</v>
      </c>
      <c r="B85" t="s">
        <v>389</v>
      </c>
      <c r="C85" s="8" t="s">
        <v>394</v>
      </c>
      <c r="D85" s="8" t="s">
        <v>397</v>
      </c>
      <c r="E85" s="8" t="s">
        <v>401</v>
      </c>
      <c r="F85" s="10" t="s">
        <v>406</v>
      </c>
      <c r="G85" s="12">
        <v>0</v>
      </c>
      <c r="H85" s="16">
        <v>9</v>
      </c>
      <c r="I85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85" t="str">
        <f>IF(COUNTIF(Table2[Student ID],Table2[[#This Row],[Student ID]])&gt;1,"Duplicate","OK")</f>
        <v>OK</v>
      </c>
      <c r="K85" t="str">
        <f>IF(Table2[[#This Row],[Monthly Payment ($)]]&gt;50, "Unusual","OK")</f>
        <v>OK</v>
      </c>
    </row>
    <row r="86" spans="1:11" x14ac:dyDescent="0.35">
      <c r="A86" s="8" t="s">
        <v>94</v>
      </c>
      <c r="B86" t="s">
        <v>387</v>
      </c>
      <c r="C86" s="8" t="s">
        <v>393</v>
      </c>
      <c r="D86" s="8" t="s">
        <v>397</v>
      </c>
      <c r="E86" s="8" t="s">
        <v>398</v>
      </c>
      <c r="F86" s="10" t="s">
        <v>404</v>
      </c>
      <c r="G86" s="12">
        <v>0</v>
      </c>
      <c r="H86" s="16">
        <v>8</v>
      </c>
      <c r="I86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86" t="str">
        <f>IF(COUNTIF(Table2[Student ID],Table2[[#This Row],[Student ID]])&gt;1,"Duplicate","OK")</f>
        <v>OK</v>
      </c>
      <c r="K86" t="str">
        <f>IF(Table2[[#This Row],[Monthly Payment ($)]]&gt;50, "Unusual","OK")</f>
        <v>OK</v>
      </c>
    </row>
    <row r="87" spans="1:11" x14ac:dyDescent="0.35">
      <c r="A87" s="8" t="s">
        <v>95</v>
      </c>
      <c r="B87" t="s">
        <v>386</v>
      </c>
      <c r="C87" s="8" t="s">
        <v>392</v>
      </c>
      <c r="D87" s="8" t="s">
        <v>396</v>
      </c>
      <c r="E87" s="8" t="s">
        <v>398</v>
      </c>
      <c r="F87" s="10" t="s">
        <v>403</v>
      </c>
      <c r="G87" s="12">
        <v>50</v>
      </c>
      <c r="H87" s="16">
        <v>3</v>
      </c>
      <c r="I87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87" t="str">
        <f>IF(COUNTIF(Table2[Student ID],Table2[[#This Row],[Student ID]])&gt;1,"Duplicate","OK")</f>
        <v>OK</v>
      </c>
      <c r="K87" t="str">
        <f>IF(Table2[[#This Row],[Monthly Payment ($)]]&gt;50, "Unusual","OK")</f>
        <v>OK</v>
      </c>
    </row>
    <row r="88" spans="1:11" x14ac:dyDescent="0.35">
      <c r="A88" s="8" t="s">
        <v>96</v>
      </c>
      <c r="B88" t="s">
        <v>387</v>
      </c>
      <c r="C88" s="8" t="s">
        <v>392</v>
      </c>
      <c r="D88" s="8" t="s">
        <v>396</v>
      </c>
      <c r="E88" s="8" t="s">
        <v>398</v>
      </c>
      <c r="F88" s="10" t="s">
        <v>406</v>
      </c>
      <c r="G88" s="12">
        <v>50</v>
      </c>
      <c r="H88" s="16">
        <v>13</v>
      </c>
      <c r="I88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88" t="str">
        <f>IF(COUNTIF(Table2[Student ID],Table2[[#This Row],[Student ID]])&gt;1,"Duplicate","OK")</f>
        <v>OK</v>
      </c>
      <c r="K88" t="str">
        <f>IF(Table2[[#This Row],[Monthly Payment ($)]]&gt;50, "Unusual","OK")</f>
        <v>OK</v>
      </c>
    </row>
    <row r="89" spans="1:11" x14ac:dyDescent="0.35">
      <c r="A89" s="8" t="s">
        <v>97</v>
      </c>
      <c r="B89" t="s">
        <v>386</v>
      </c>
      <c r="C89" s="8" t="s">
        <v>394</v>
      </c>
      <c r="D89" s="8" t="s">
        <v>397</v>
      </c>
      <c r="E89" s="8" t="s">
        <v>398</v>
      </c>
      <c r="F89" s="10" t="s">
        <v>402</v>
      </c>
      <c r="G89" s="12">
        <v>0</v>
      </c>
      <c r="H89" s="16">
        <v>16</v>
      </c>
      <c r="I89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89" t="str">
        <f>IF(COUNTIF(Table2[Student ID],Table2[[#This Row],[Student ID]])&gt;1,"Duplicate","OK")</f>
        <v>OK</v>
      </c>
      <c r="K89" t="str">
        <f>IF(Table2[[#This Row],[Monthly Payment ($)]]&gt;50, "Unusual","OK")</f>
        <v>OK</v>
      </c>
    </row>
    <row r="90" spans="1:11" x14ac:dyDescent="0.35">
      <c r="A90" s="8" t="s">
        <v>98</v>
      </c>
      <c r="B90" t="s">
        <v>386</v>
      </c>
      <c r="C90" s="8" t="s">
        <v>392</v>
      </c>
      <c r="D90" s="8" t="s">
        <v>397</v>
      </c>
      <c r="E90" s="8" t="s">
        <v>399</v>
      </c>
      <c r="F90" s="10" t="s">
        <v>404</v>
      </c>
      <c r="G90" s="12">
        <v>0</v>
      </c>
      <c r="H90" s="16">
        <v>16</v>
      </c>
      <c r="I90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90" t="str">
        <f>IF(COUNTIF(Table2[Student ID],Table2[[#This Row],[Student ID]])&gt;1,"Duplicate","OK")</f>
        <v>OK</v>
      </c>
      <c r="K90" t="str">
        <f>IF(Table2[[#This Row],[Monthly Payment ($)]]&gt;50, "Unusual","OK")</f>
        <v>OK</v>
      </c>
    </row>
    <row r="91" spans="1:11" x14ac:dyDescent="0.35">
      <c r="A91" s="8" t="s">
        <v>99</v>
      </c>
      <c r="B91" t="s">
        <v>386</v>
      </c>
      <c r="C91" s="8" t="s">
        <v>393</v>
      </c>
      <c r="D91" s="8" t="s">
        <v>397</v>
      </c>
      <c r="E91" s="8" t="s">
        <v>400</v>
      </c>
      <c r="F91" s="10" t="s">
        <v>405</v>
      </c>
      <c r="G91" s="12">
        <v>0</v>
      </c>
      <c r="H91" s="16">
        <v>0</v>
      </c>
      <c r="I91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91" t="str">
        <f>IF(COUNTIF(Table2[Student ID],Table2[[#This Row],[Student ID]])&gt;1,"Duplicate","OK")</f>
        <v>OK</v>
      </c>
      <c r="K91" t="str">
        <f>IF(Table2[[#This Row],[Monthly Payment ($)]]&gt;50, "Unusual","OK")</f>
        <v>OK</v>
      </c>
    </row>
    <row r="92" spans="1:11" x14ac:dyDescent="0.35">
      <c r="A92" s="8" t="s">
        <v>100</v>
      </c>
      <c r="B92" t="s">
        <v>388</v>
      </c>
      <c r="C92" s="8" t="s">
        <v>392</v>
      </c>
      <c r="D92" s="8" t="s">
        <v>397</v>
      </c>
      <c r="E92" s="8" t="s">
        <v>398</v>
      </c>
      <c r="F92" s="10" t="s">
        <v>405</v>
      </c>
      <c r="G92" s="12">
        <v>0</v>
      </c>
      <c r="H92" s="16">
        <v>13</v>
      </c>
      <c r="I92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92" t="str">
        <f>IF(COUNTIF(Table2[Student ID],Table2[[#This Row],[Student ID]])&gt;1,"Duplicate","OK")</f>
        <v>OK</v>
      </c>
      <c r="K92" t="str">
        <f>IF(Table2[[#This Row],[Monthly Payment ($)]]&gt;50, "Unusual","OK")</f>
        <v>OK</v>
      </c>
    </row>
    <row r="93" spans="1:11" x14ac:dyDescent="0.35">
      <c r="A93" s="8" t="s">
        <v>101</v>
      </c>
      <c r="B93" t="s">
        <v>389</v>
      </c>
      <c r="C93" s="8" t="s">
        <v>391</v>
      </c>
      <c r="D93" s="8" t="s">
        <v>397</v>
      </c>
      <c r="E93" s="8" t="s">
        <v>398</v>
      </c>
      <c r="F93" s="10" t="s">
        <v>404</v>
      </c>
      <c r="G93" s="12">
        <v>0</v>
      </c>
      <c r="H93" s="16">
        <v>18</v>
      </c>
      <c r="I93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93" t="str">
        <f>IF(COUNTIF(Table2[Student ID],Table2[[#This Row],[Student ID]])&gt;1,"Duplicate","OK")</f>
        <v>OK</v>
      </c>
      <c r="K93" t="str">
        <f>IF(Table2[[#This Row],[Monthly Payment ($)]]&gt;50, "Unusual","OK")</f>
        <v>OK</v>
      </c>
    </row>
    <row r="94" spans="1:11" x14ac:dyDescent="0.35">
      <c r="A94" s="8" t="s">
        <v>102</v>
      </c>
      <c r="B94" t="s">
        <v>387</v>
      </c>
      <c r="C94" s="8" t="s">
        <v>391</v>
      </c>
      <c r="D94" s="8" t="s">
        <v>395</v>
      </c>
      <c r="E94" s="8" t="s">
        <v>398</v>
      </c>
      <c r="F94" s="10" t="s">
        <v>402</v>
      </c>
      <c r="G94" s="12">
        <v>20</v>
      </c>
      <c r="H94" s="16">
        <v>9</v>
      </c>
      <c r="I94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94" t="str">
        <f>IF(COUNTIF(Table2[Student ID],Table2[[#This Row],[Student ID]])&gt;1,"Duplicate","OK")</f>
        <v>OK</v>
      </c>
      <c r="K94" t="str">
        <f>IF(Table2[[#This Row],[Monthly Payment ($)]]&gt;50, "Unusual","OK")</f>
        <v>OK</v>
      </c>
    </row>
    <row r="95" spans="1:11" x14ac:dyDescent="0.35">
      <c r="A95" s="8" t="s">
        <v>103</v>
      </c>
      <c r="B95" t="s">
        <v>388</v>
      </c>
      <c r="C95" s="8" t="s">
        <v>392</v>
      </c>
      <c r="D95" s="8" t="s">
        <v>395</v>
      </c>
      <c r="E95" s="8" t="s">
        <v>401</v>
      </c>
      <c r="F95" s="10" t="s">
        <v>403</v>
      </c>
      <c r="G95" s="12">
        <v>20</v>
      </c>
      <c r="H95" s="16">
        <v>0</v>
      </c>
      <c r="I95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95" t="str">
        <f>IF(COUNTIF(Table2[Student ID],Table2[[#This Row],[Student ID]])&gt;1,"Duplicate","OK")</f>
        <v>OK</v>
      </c>
      <c r="K95" t="str">
        <f>IF(Table2[[#This Row],[Monthly Payment ($)]]&gt;50, "Unusual","OK")</f>
        <v>OK</v>
      </c>
    </row>
    <row r="96" spans="1:11" x14ac:dyDescent="0.35">
      <c r="A96" s="8" t="s">
        <v>104</v>
      </c>
      <c r="B96" t="s">
        <v>385</v>
      </c>
      <c r="C96" s="8" t="s">
        <v>393</v>
      </c>
      <c r="D96" s="8" t="s">
        <v>395</v>
      </c>
      <c r="E96" s="8" t="s">
        <v>399</v>
      </c>
      <c r="F96" s="10" t="s">
        <v>402</v>
      </c>
      <c r="G96" s="12">
        <v>20</v>
      </c>
      <c r="H96" s="16">
        <v>16</v>
      </c>
      <c r="I96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96" t="str">
        <f>IF(COUNTIF(Table2[Student ID],Table2[[#This Row],[Student ID]])&gt;1,"Duplicate","OK")</f>
        <v>OK</v>
      </c>
      <c r="K96" t="str">
        <f>IF(Table2[[#This Row],[Monthly Payment ($)]]&gt;50, "Unusual","OK")</f>
        <v>OK</v>
      </c>
    </row>
    <row r="97" spans="1:11" x14ac:dyDescent="0.35">
      <c r="A97" s="8" t="s">
        <v>105</v>
      </c>
      <c r="B97" t="s">
        <v>386</v>
      </c>
      <c r="C97" s="8" t="s">
        <v>392</v>
      </c>
      <c r="D97" s="8" t="s">
        <v>397</v>
      </c>
      <c r="E97" s="8" t="s">
        <v>400</v>
      </c>
      <c r="F97" s="10" t="s">
        <v>405</v>
      </c>
      <c r="G97" s="12">
        <v>0</v>
      </c>
      <c r="H97" s="16">
        <v>13</v>
      </c>
      <c r="I97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97" t="str">
        <f>IF(COUNTIF(Table2[Student ID],Table2[[#This Row],[Student ID]])&gt;1,"Duplicate","OK")</f>
        <v>OK</v>
      </c>
      <c r="K97" t="str">
        <f>IF(Table2[[#This Row],[Monthly Payment ($)]]&gt;50, "Unusual","OK")</f>
        <v>OK</v>
      </c>
    </row>
    <row r="98" spans="1:11" x14ac:dyDescent="0.35">
      <c r="A98" s="8" t="s">
        <v>106</v>
      </c>
      <c r="B98" t="s">
        <v>385</v>
      </c>
      <c r="C98" s="8" t="s">
        <v>394</v>
      </c>
      <c r="D98" s="8" t="s">
        <v>395</v>
      </c>
      <c r="E98" s="8" t="s">
        <v>401</v>
      </c>
      <c r="F98" s="10" t="s">
        <v>403</v>
      </c>
      <c r="G98" s="12">
        <v>20</v>
      </c>
      <c r="H98" s="16">
        <v>7</v>
      </c>
      <c r="I98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98" t="str">
        <f>IF(COUNTIF(Table2[Student ID],Table2[[#This Row],[Student ID]])&gt;1,"Duplicate","OK")</f>
        <v>OK</v>
      </c>
      <c r="K98" t="str">
        <f>IF(Table2[[#This Row],[Monthly Payment ($)]]&gt;50, "Unusual","OK")</f>
        <v>OK</v>
      </c>
    </row>
    <row r="99" spans="1:11" x14ac:dyDescent="0.35">
      <c r="A99" s="8" t="s">
        <v>107</v>
      </c>
      <c r="B99" t="s">
        <v>389</v>
      </c>
      <c r="C99" s="8" t="s">
        <v>391</v>
      </c>
      <c r="D99" s="8" t="s">
        <v>395</v>
      </c>
      <c r="E99" s="8" t="s">
        <v>401</v>
      </c>
      <c r="F99" s="10" t="s">
        <v>406</v>
      </c>
      <c r="G99" s="12">
        <v>20</v>
      </c>
      <c r="H99" s="16">
        <v>9</v>
      </c>
      <c r="I99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99" t="str">
        <f>IF(COUNTIF(Table2[Student ID],Table2[[#This Row],[Student ID]])&gt;1,"Duplicate","OK")</f>
        <v>OK</v>
      </c>
      <c r="K99" t="str">
        <f>IF(Table2[[#This Row],[Monthly Payment ($)]]&gt;50, "Unusual","OK")</f>
        <v>OK</v>
      </c>
    </row>
    <row r="100" spans="1:11" x14ac:dyDescent="0.35">
      <c r="A100" s="8" t="s">
        <v>108</v>
      </c>
      <c r="B100" t="s">
        <v>386</v>
      </c>
      <c r="C100" s="8" t="s">
        <v>393</v>
      </c>
      <c r="D100" s="8" t="s">
        <v>397</v>
      </c>
      <c r="E100" s="8" t="s">
        <v>398</v>
      </c>
      <c r="F100" s="10" t="s">
        <v>405</v>
      </c>
      <c r="G100" s="12">
        <v>0</v>
      </c>
      <c r="H100" s="16">
        <v>10</v>
      </c>
      <c r="I100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00" t="str">
        <f>IF(COUNTIF(Table2[Student ID],Table2[[#This Row],[Student ID]])&gt;1,"Duplicate","OK")</f>
        <v>OK</v>
      </c>
      <c r="K100" t="str">
        <f>IF(Table2[[#This Row],[Monthly Payment ($)]]&gt;50, "Unusual","OK")</f>
        <v>OK</v>
      </c>
    </row>
    <row r="101" spans="1:11" x14ac:dyDescent="0.35">
      <c r="A101" s="8" t="s">
        <v>109</v>
      </c>
      <c r="B101" t="s">
        <v>389</v>
      </c>
      <c r="C101" s="8" t="s">
        <v>394</v>
      </c>
      <c r="D101" s="8" t="s">
        <v>397</v>
      </c>
      <c r="E101" s="8" t="s">
        <v>400</v>
      </c>
      <c r="F101" s="10" t="s">
        <v>406</v>
      </c>
      <c r="G101" s="12">
        <v>0</v>
      </c>
      <c r="H101" s="16">
        <v>9</v>
      </c>
      <c r="I101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01" t="str">
        <f>IF(COUNTIF(Table2[Student ID],Table2[[#This Row],[Student ID]])&gt;1,"Duplicate","OK")</f>
        <v>OK</v>
      </c>
      <c r="K101" t="str">
        <f>IF(Table2[[#This Row],[Monthly Payment ($)]]&gt;50, "Unusual","OK")</f>
        <v>OK</v>
      </c>
    </row>
    <row r="102" spans="1:11" x14ac:dyDescent="0.35">
      <c r="A102" s="8" t="s">
        <v>110</v>
      </c>
      <c r="B102" t="s">
        <v>389</v>
      </c>
      <c r="C102" s="8" t="s">
        <v>394</v>
      </c>
      <c r="D102" s="8" t="s">
        <v>395</v>
      </c>
      <c r="E102" s="8" t="s">
        <v>399</v>
      </c>
      <c r="F102" s="10" t="s">
        <v>406</v>
      </c>
      <c r="G102" s="12">
        <v>20</v>
      </c>
      <c r="H102" s="16">
        <v>2</v>
      </c>
      <c r="I102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02" t="str">
        <f>IF(COUNTIF(Table2[Student ID],Table2[[#This Row],[Student ID]])&gt;1,"Duplicate","OK")</f>
        <v>OK</v>
      </c>
      <c r="K102" t="str">
        <f>IF(Table2[[#This Row],[Monthly Payment ($)]]&gt;50, "Unusual","OK")</f>
        <v>OK</v>
      </c>
    </row>
    <row r="103" spans="1:11" x14ac:dyDescent="0.35">
      <c r="A103" s="8" t="s">
        <v>111</v>
      </c>
      <c r="B103" t="s">
        <v>389</v>
      </c>
      <c r="C103" s="8" t="s">
        <v>393</v>
      </c>
      <c r="D103" s="8" t="s">
        <v>397</v>
      </c>
      <c r="E103" s="8" t="s">
        <v>400</v>
      </c>
      <c r="F103" s="10" t="s">
        <v>403</v>
      </c>
      <c r="G103" s="12">
        <v>0</v>
      </c>
      <c r="H103" s="16">
        <v>10</v>
      </c>
      <c r="I103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03" t="str">
        <f>IF(COUNTIF(Table2[Student ID],Table2[[#This Row],[Student ID]])&gt;1,"Duplicate","OK")</f>
        <v>OK</v>
      </c>
      <c r="K103" t="str">
        <f>IF(Table2[[#This Row],[Monthly Payment ($)]]&gt;50, "Unusual","OK")</f>
        <v>OK</v>
      </c>
    </row>
    <row r="104" spans="1:11" x14ac:dyDescent="0.35">
      <c r="A104" s="8" t="s">
        <v>112</v>
      </c>
      <c r="B104" t="s">
        <v>389</v>
      </c>
      <c r="C104" s="8" t="s">
        <v>391</v>
      </c>
      <c r="D104" s="8" t="s">
        <v>395</v>
      </c>
      <c r="E104" s="8" t="s">
        <v>400</v>
      </c>
      <c r="F104" s="10" t="s">
        <v>406</v>
      </c>
      <c r="G104" s="12">
        <v>20</v>
      </c>
      <c r="H104" s="16">
        <v>7</v>
      </c>
      <c r="I104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04" t="str">
        <f>IF(COUNTIF(Table2[Student ID],Table2[[#This Row],[Student ID]])&gt;1,"Duplicate","OK")</f>
        <v>OK</v>
      </c>
      <c r="K104" t="str">
        <f>IF(Table2[[#This Row],[Monthly Payment ($)]]&gt;50, "Unusual","OK")</f>
        <v>OK</v>
      </c>
    </row>
    <row r="105" spans="1:11" x14ac:dyDescent="0.35">
      <c r="A105" s="8" t="s">
        <v>113</v>
      </c>
      <c r="B105" t="s">
        <v>387</v>
      </c>
      <c r="C105" s="8" t="s">
        <v>390</v>
      </c>
      <c r="D105" s="8" t="s">
        <v>396</v>
      </c>
      <c r="E105" s="8" t="s">
        <v>398</v>
      </c>
      <c r="F105" s="10" t="s">
        <v>403</v>
      </c>
      <c r="G105" s="12">
        <v>50</v>
      </c>
      <c r="H105" s="16">
        <v>12</v>
      </c>
      <c r="I105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05" t="str">
        <f>IF(COUNTIF(Table2[Student ID],Table2[[#This Row],[Student ID]])&gt;1,"Duplicate","OK")</f>
        <v>OK</v>
      </c>
      <c r="K105" t="str">
        <f>IF(Table2[[#This Row],[Monthly Payment ($)]]&gt;50, "Unusual","OK")</f>
        <v>OK</v>
      </c>
    </row>
    <row r="106" spans="1:11" x14ac:dyDescent="0.35">
      <c r="A106" s="8" t="s">
        <v>114</v>
      </c>
      <c r="B106" t="s">
        <v>389</v>
      </c>
      <c r="C106" s="8" t="s">
        <v>393</v>
      </c>
      <c r="D106" s="8" t="s">
        <v>395</v>
      </c>
      <c r="E106" s="8" t="s">
        <v>400</v>
      </c>
      <c r="F106" s="10" t="s">
        <v>406</v>
      </c>
      <c r="G106" s="12">
        <v>20</v>
      </c>
      <c r="H106" s="16">
        <v>19</v>
      </c>
      <c r="I106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06" t="str">
        <f>IF(COUNTIF(Table2[Student ID],Table2[[#This Row],[Student ID]])&gt;1,"Duplicate","OK")</f>
        <v>OK</v>
      </c>
      <c r="K106" t="str">
        <f>IF(Table2[[#This Row],[Monthly Payment ($)]]&gt;50, "Unusual","OK")</f>
        <v>OK</v>
      </c>
    </row>
    <row r="107" spans="1:11" x14ac:dyDescent="0.35">
      <c r="A107" s="8" t="s">
        <v>115</v>
      </c>
      <c r="B107" t="s">
        <v>389</v>
      </c>
      <c r="C107" s="8" t="s">
        <v>392</v>
      </c>
      <c r="D107" s="8" t="s">
        <v>395</v>
      </c>
      <c r="E107" s="8" t="s">
        <v>401</v>
      </c>
      <c r="F107" s="10" t="s">
        <v>404</v>
      </c>
      <c r="G107" s="12">
        <v>20</v>
      </c>
      <c r="H107" s="16">
        <v>7</v>
      </c>
      <c r="I107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07" t="str">
        <f>IF(COUNTIF(Table2[Student ID],Table2[[#This Row],[Student ID]])&gt;1,"Duplicate","OK")</f>
        <v>OK</v>
      </c>
      <c r="K107" t="str">
        <f>IF(Table2[[#This Row],[Monthly Payment ($)]]&gt;50, "Unusual","OK")</f>
        <v>OK</v>
      </c>
    </row>
    <row r="108" spans="1:11" x14ac:dyDescent="0.35">
      <c r="A108" s="8" t="s">
        <v>116</v>
      </c>
      <c r="B108" t="s">
        <v>387</v>
      </c>
      <c r="C108" s="8" t="s">
        <v>394</v>
      </c>
      <c r="D108" s="8" t="s">
        <v>395</v>
      </c>
      <c r="E108" s="8" t="s">
        <v>401</v>
      </c>
      <c r="F108" s="10" t="s">
        <v>402</v>
      </c>
      <c r="G108" s="12">
        <v>20</v>
      </c>
      <c r="H108" s="16">
        <v>12</v>
      </c>
      <c r="I108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08" t="str">
        <f>IF(COUNTIF(Table2[Student ID],Table2[[#This Row],[Student ID]])&gt;1,"Duplicate","OK")</f>
        <v>OK</v>
      </c>
      <c r="K108" t="str">
        <f>IF(Table2[[#This Row],[Monthly Payment ($)]]&gt;50, "Unusual","OK")</f>
        <v>OK</v>
      </c>
    </row>
    <row r="109" spans="1:11" x14ac:dyDescent="0.35">
      <c r="A109" s="8" t="s">
        <v>117</v>
      </c>
      <c r="B109" t="s">
        <v>386</v>
      </c>
      <c r="C109" s="8" t="s">
        <v>391</v>
      </c>
      <c r="D109" s="8" t="s">
        <v>395</v>
      </c>
      <c r="E109" s="8" t="s">
        <v>399</v>
      </c>
      <c r="F109" s="10" t="s">
        <v>405</v>
      </c>
      <c r="G109" s="12">
        <v>20</v>
      </c>
      <c r="H109" s="16">
        <v>16</v>
      </c>
      <c r="I109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09" t="str">
        <f>IF(COUNTIF(Table2[Student ID],Table2[[#This Row],[Student ID]])&gt;1,"Duplicate","OK")</f>
        <v>OK</v>
      </c>
      <c r="K109" t="str">
        <f>IF(Table2[[#This Row],[Monthly Payment ($)]]&gt;50, "Unusual","OK")</f>
        <v>OK</v>
      </c>
    </row>
    <row r="110" spans="1:11" x14ac:dyDescent="0.35">
      <c r="A110" s="8" t="s">
        <v>118</v>
      </c>
      <c r="B110" t="s">
        <v>389</v>
      </c>
      <c r="C110" s="8" t="s">
        <v>393</v>
      </c>
      <c r="D110" s="8" t="s">
        <v>396</v>
      </c>
      <c r="E110" s="8" t="s">
        <v>400</v>
      </c>
      <c r="F110" s="10" t="s">
        <v>405</v>
      </c>
      <c r="G110" s="12">
        <v>50</v>
      </c>
      <c r="H110" s="16">
        <v>6</v>
      </c>
      <c r="I110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10" t="str">
        <f>IF(COUNTIF(Table2[Student ID],Table2[[#This Row],[Student ID]])&gt;1,"Duplicate","OK")</f>
        <v>OK</v>
      </c>
      <c r="K110" t="str">
        <f>IF(Table2[[#This Row],[Monthly Payment ($)]]&gt;50, "Unusual","OK")</f>
        <v>OK</v>
      </c>
    </row>
    <row r="111" spans="1:11" x14ac:dyDescent="0.35">
      <c r="A111" s="8" t="s">
        <v>119</v>
      </c>
      <c r="B111" t="s">
        <v>387</v>
      </c>
      <c r="C111" s="8" t="s">
        <v>392</v>
      </c>
      <c r="D111" s="8" t="s">
        <v>397</v>
      </c>
      <c r="E111" s="8" t="s">
        <v>401</v>
      </c>
      <c r="F111" s="10" t="s">
        <v>403</v>
      </c>
      <c r="G111" s="12">
        <v>0</v>
      </c>
      <c r="H111" s="16">
        <v>15</v>
      </c>
      <c r="I111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11" t="str">
        <f>IF(COUNTIF(Table2[Student ID],Table2[[#This Row],[Student ID]])&gt;1,"Duplicate","OK")</f>
        <v>OK</v>
      </c>
      <c r="K111" t="str">
        <f>IF(Table2[[#This Row],[Monthly Payment ($)]]&gt;50, "Unusual","OK")</f>
        <v>OK</v>
      </c>
    </row>
    <row r="112" spans="1:11" x14ac:dyDescent="0.35">
      <c r="A112" s="8" t="s">
        <v>120</v>
      </c>
      <c r="B112" t="s">
        <v>388</v>
      </c>
      <c r="C112" s="8" t="s">
        <v>394</v>
      </c>
      <c r="D112" s="8" t="s">
        <v>395</v>
      </c>
      <c r="E112" s="8" t="s">
        <v>399</v>
      </c>
      <c r="F112" s="10" t="s">
        <v>406</v>
      </c>
      <c r="G112" s="12">
        <v>20</v>
      </c>
      <c r="H112" s="16">
        <v>7</v>
      </c>
      <c r="I112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12" t="str">
        <f>IF(COUNTIF(Table2[Student ID],Table2[[#This Row],[Student ID]])&gt;1,"Duplicate","OK")</f>
        <v>OK</v>
      </c>
      <c r="K112" t="str">
        <f>IF(Table2[[#This Row],[Monthly Payment ($)]]&gt;50, "Unusual","OK")</f>
        <v>OK</v>
      </c>
    </row>
    <row r="113" spans="1:11" x14ac:dyDescent="0.35">
      <c r="A113" s="8" t="s">
        <v>121</v>
      </c>
      <c r="B113" t="s">
        <v>387</v>
      </c>
      <c r="C113" s="8" t="s">
        <v>390</v>
      </c>
      <c r="D113" s="8" t="s">
        <v>395</v>
      </c>
      <c r="E113" s="8" t="s">
        <v>399</v>
      </c>
      <c r="F113" s="10" t="s">
        <v>402</v>
      </c>
      <c r="G113" s="12">
        <v>20</v>
      </c>
      <c r="H113" s="16">
        <v>17</v>
      </c>
      <c r="I113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13" t="str">
        <f>IF(COUNTIF(Table2[Student ID],Table2[[#This Row],[Student ID]])&gt;1,"Duplicate","OK")</f>
        <v>OK</v>
      </c>
      <c r="K113" t="str">
        <f>IF(Table2[[#This Row],[Monthly Payment ($)]]&gt;50, "Unusual","OK")</f>
        <v>OK</v>
      </c>
    </row>
    <row r="114" spans="1:11" x14ac:dyDescent="0.35">
      <c r="A114" s="8" t="s">
        <v>122</v>
      </c>
      <c r="B114" t="s">
        <v>385</v>
      </c>
      <c r="C114" s="8" t="s">
        <v>391</v>
      </c>
      <c r="D114" s="8" t="s">
        <v>395</v>
      </c>
      <c r="E114" s="8" t="s">
        <v>401</v>
      </c>
      <c r="F114" s="10" t="s">
        <v>402</v>
      </c>
      <c r="G114" s="12">
        <v>20</v>
      </c>
      <c r="H114" s="16">
        <v>13</v>
      </c>
      <c r="I114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14" t="str">
        <f>IF(COUNTIF(Table2[Student ID],Table2[[#This Row],[Student ID]])&gt;1,"Duplicate","OK")</f>
        <v>OK</v>
      </c>
      <c r="K114" t="str">
        <f>IF(Table2[[#This Row],[Monthly Payment ($)]]&gt;50, "Unusual","OK")</f>
        <v>OK</v>
      </c>
    </row>
    <row r="115" spans="1:11" x14ac:dyDescent="0.35">
      <c r="A115" s="8" t="s">
        <v>123</v>
      </c>
      <c r="B115" t="s">
        <v>386</v>
      </c>
      <c r="C115" s="8" t="s">
        <v>393</v>
      </c>
      <c r="D115" s="8" t="s">
        <v>397</v>
      </c>
      <c r="E115" s="8" t="s">
        <v>400</v>
      </c>
      <c r="F115" s="10" t="s">
        <v>402</v>
      </c>
      <c r="G115" s="12">
        <v>0</v>
      </c>
      <c r="H115" s="16">
        <v>1</v>
      </c>
      <c r="I115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15" t="str">
        <f>IF(COUNTIF(Table2[Student ID],Table2[[#This Row],[Student ID]])&gt;1,"Duplicate","OK")</f>
        <v>OK</v>
      </c>
      <c r="K115" t="str">
        <f>IF(Table2[[#This Row],[Monthly Payment ($)]]&gt;50, "Unusual","OK")</f>
        <v>OK</v>
      </c>
    </row>
    <row r="116" spans="1:11" x14ac:dyDescent="0.35">
      <c r="A116" s="8" t="s">
        <v>124</v>
      </c>
      <c r="B116" t="s">
        <v>387</v>
      </c>
      <c r="C116" s="8" t="s">
        <v>392</v>
      </c>
      <c r="D116" s="8" t="s">
        <v>396</v>
      </c>
      <c r="E116" s="8" t="s">
        <v>400</v>
      </c>
      <c r="F116" s="10" t="s">
        <v>402</v>
      </c>
      <c r="G116" s="12">
        <v>50</v>
      </c>
      <c r="H116" s="16">
        <v>6</v>
      </c>
      <c r="I116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16" t="str">
        <f>IF(COUNTIF(Table2[Student ID],Table2[[#This Row],[Student ID]])&gt;1,"Duplicate","OK")</f>
        <v>OK</v>
      </c>
      <c r="K116" t="str">
        <f>IF(Table2[[#This Row],[Monthly Payment ($)]]&gt;50, "Unusual","OK")</f>
        <v>OK</v>
      </c>
    </row>
    <row r="117" spans="1:11" x14ac:dyDescent="0.35">
      <c r="A117" s="8" t="s">
        <v>125</v>
      </c>
      <c r="B117" t="s">
        <v>387</v>
      </c>
      <c r="C117" s="8" t="s">
        <v>390</v>
      </c>
      <c r="D117" s="8" t="s">
        <v>396</v>
      </c>
      <c r="E117" s="8" t="s">
        <v>398</v>
      </c>
      <c r="F117" s="10" t="s">
        <v>405</v>
      </c>
      <c r="G117" s="12">
        <v>50</v>
      </c>
      <c r="H117" s="16">
        <v>3</v>
      </c>
      <c r="I117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17" t="str">
        <f>IF(COUNTIF(Table2[Student ID],Table2[[#This Row],[Student ID]])&gt;1,"Duplicate","OK")</f>
        <v>OK</v>
      </c>
      <c r="K117" t="str">
        <f>IF(Table2[[#This Row],[Monthly Payment ($)]]&gt;50, "Unusual","OK")</f>
        <v>OK</v>
      </c>
    </row>
    <row r="118" spans="1:11" x14ac:dyDescent="0.35">
      <c r="A118" s="8" t="s">
        <v>126</v>
      </c>
      <c r="B118" t="s">
        <v>388</v>
      </c>
      <c r="C118" s="8" t="s">
        <v>391</v>
      </c>
      <c r="D118" s="8" t="s">
        <v>396</v>
      </c>
      <c r="E118" s="8" t="s">
        <v>401</v>
      </c>
      <c r="F118" s="10" t="s">
        <v>406</v>
      </c>
      <c r="G118" s="12">
        <v>50</v>
      </c>
      <c r="H118" s="16">
        <v>6</v>
      </c>
      <c r="I118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18" t="str">
        <f>IF(COUNTIF(Table2[Student ID],Table2[[#This Row],[Student ID]])&gt;1,"Duplicate","OK")</f>
        <v>OK</v>
      </c>
      <c r="K118" t="str">
        <f>IF(Table2[[#This Row],[Monthly Payment ($)]]&gt;50, "Unusual","OK")</f>
        <v>OK</v>
      </c>
    </row>
    <row r="119" spans="1:11" x14ac:dyDescent="0.35">
      <c r="A119" s="8" t="s">
        <v>127</v>
      </c>
      <c r="B119" t="s">
        <v>388</v>
      </c>
      <c r="C119" s="8" t="s">
        <v>393</v>
      </c>
      <c r="D119" s="8" t="s">
        <v>396</v>
      </c>
      <c r="E119" s="8" t="s">
        <v>401</v>
      </c>
      <c r="F119" s="10" t="s">
        <v>403</v>
      </c>
      <c r="G119" s="12">
        <v>50</v>
      </c>
      <c r="H119" s="16">
        <v>19</v>
      </c>
      <c r="I119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19" t="str">
        <f>IF(COUNTIF(Table2[Student ID],Table2[[#This Row],[Student ID]])&gt;1,"Duplicate","OK")</f>
        <v>OK</v>
      </c>
      <c r="K119" t="str">
        <f>IF(Table2[[#This Row],[Monthly Payment ($)]]&gt;50, "Unusual","OK")</f>
        <v>OK</v>
      </c>
    </row>
    <row r="120" spans="1:11" x14ac:dyDescent="0.35">
      <c r="A120" s="8" t="s">
        <v>128</v>
      </c>
      <c r="B120" t="s">
        <v>386</v>
      </c>
      <c r="C120" s="8" t="s">
        <v>393</v>
      </c>
      <c r="D120" s="8" t="s">
        <v>396</v>
      </c>
      <c r="E120" s="8" t="s">
        <v>400</v>
      </c>
      <c r="F120" s="10" t="s">
        <v>405</v>
      </c>
      <c r="G120" s="12">
        <v>50</v>
      </c>
      <c r="H120" s="16">
        <v>3</v>
      </c>
      <c r="I120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20" t="str">
        <f>IF(COUNTIF(Table2[Student ID],Table2[[#This Row],[Student ID]])&gt;1,"Duplicate","OK")</f>
        <v>OK</v>
      </c>
      <c r="K120" t="str">
        <f>IF(Table2[[#This Row],[Monthly Payment ($)]]&gt;50, "Unusual","OK")</f>
        <v>OK</v>
      </c>
    </row>
    <row r="121" spans="1:11" x14ac:dyDescent="0.35">
      <c r="A121" s="8" t="s">
        <v>129</v>
      </c>
      <c r="B121" t="s">
        <v>387</v>
      </c>
      <c r="C121" s="8" t="s">
        <v>394</v>
      </c>
      <c r="D121" s="8" t="s">
        <v>397</v>
      </c>
      <c r="E121" s="8" t="s">
        <v>398</v>
      </c>
      <c r="F121" s="10" t="s">
        <v>405</v>
      </c>
      <c r="G121" s="12">
        <v>0</v>
      </c>
      <c r="H121" s="16">
        <v>8</v>
      </c>
      <c r="I121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21" t="str">
        <f>IF(COUNTIF(Table2[Student ID],Table2[[#This Row],[Student ID]])&gt;1,"Duplicate","OK")</f>
        <v>OK</v>
      </c>
      <c r="K121" t="str">
        <f>IF(Table2[[#This Row],[Monthly Payment ($)]]&gt;50, "Unusual","OK")</f>
        <v>OK</v>
      </c>
    </row>
    <row r="122" spans="1:11" x14ac:dyDescent="0.35">
      <c r="A122" s="8" t="s">
        <v>130</v>
      </c>
      <c r="B122" t="s">
        <v>389</v>
      </c>
      <c r="C122" s="8" t="s">
        <v>392</v>
      </c>
      <c r="D122" s="8" t="s">
        <v>397</v>
      </c>
      <c r="E122" s="8" t="s">
        <v>398</v>
      </c>
      <c r="F122" s="10" t="s">
        <v>405</v>
      </c>
      <c r="G122" s="12">
        <v>0</v>
      </c>
      <c r="H122" s="16">
        <v>3</v>
      </c>
      <c r="I122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22" t="str">
        <f>IF(COUNTIF(Table2[Student ID],Table2[[#This Row],[Student ID]])&gt;1,"Duplicate","OK")</f>
        <v>OK</v>
      </c>
      <c r="K122" t="str">
        <f>IF(Table2[[#This Row],[Monthly Payment ($)]]&gt;50, "Unusual","OK")</f>
        <v>OK</v>
      </c>
    </row>
    <row r="123" spans="1:11" x14ac:dyDescent="0.35">
      <c r="A123" s="8" t="s">
        <v>131</v>
      </c>
      <c r="B123" t="s">
        <v>385</v>
      </c>
      <c r="C123" s="8" t="s">
        <v>392</v>
      </c>
      <c r="D123" s="8" t="s">
        <v>395</v>
      </c>
      <c r="E123" s="8" t="s">
        <v>400</v>
      </c>
      <c r="F123" s="10" t="s">
        <v>403</v>
      </c>
      <c r="G123" s="12">
        <v>20</v>
      </c>
      <c r="H123" s="16">
        <v>16</v>
      </c>
      <c r="I123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23" t="str">
        <f>IF(COUNTIF(Table2[Student ID],Table2[[#This Row],[Student ID]])&gt;1,"Duplicate","OK")</f>
        <v>OK</v>
      </c>
      <c r="K123" t="str">
        <f>IF(Table2[[#This Row],[Monthly Payment ($)]]&gt;50, "Unusual","OK")</f>
        <v>OK</v>
      </c>
    </row>
    <row r="124" spans="1:11" x14ac:dyDescent="0.35">
      <c r="A124" s="8" t="s">
        <v>132</v>
      </c>
      <c r="B124" t="s">
        <v>388</v>
      </c>
      <c r="C124" s="8" t="s">
        <v>390</v>
      </c>
      <c r="D124" s="8" t="s">
        <v>396</v>
      </c>
      <c r="E124" s="8" t="s">
        <v>401</v>
      </c>
      <c r="F124" s="10" t="s">
        <v>403</v>
      </c>
      <c r="G124" s="12">
        <v>50</v>
      </c>
      <c r="H124" s="16">
        <v>15</v>
      </c>
      <c r="I124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24" t="str">
        <f>IF(COUNTIF(Table2[Student ID],Table2[[#This Row],[Student ID]])&gt;1,"Duplicate","OK")</f>
        <v>OK</v>
      </c>
      <c r="K124" t="str">
        <f>IF(Table2[[#This Row],[Monthly Payment ($)]]&gt;50, "Unusual","OK")</f>
        <v>OK</v>
      </c>
    </row>
    <row r="125" spans="1:11" x14ac:dyDescent="0.35">
      <c r="A125" s="8" t="s">
        <v>133</v>
      </c>
      <c r="B125" t="s">
        <v>387</v>
      </c>
      <c r="C125" s="8" t="s">
        <v>392</v>
      </c>
      <c r="D125" s="8" t="s">
        <v>395</v>
      </c>
      <c r="E125" s="8" t="s">
        <v>399</v>
      </c>
      <c r="F125" s="10" t="s">
        <v>406</v>
      </c>
      <c r="G125" s="12">
        <v>20</v>
      </c>
      <c r="H125" s="16">
        <v>13</v>
      </c>
      <c r="I125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25" t="str">
        <f>IF(COUNTIF(Table2[Student ID],Table2[[#This Row],[Student ID]])&gt;1,"Duplicate","OK")</f>
        <v>OK</v>
      </c>
      <c r="K125" t="str">
        <f>IF(Table2[[#This Row],[Monthly Payment ($)]]&gt;50, "Unusual","OK")</f>
        <v>OK</v>
      </c>
    </row>
    <row r="126" spans="1:11" x14ac:dyDescent="0.35">
      <c r="A126" s="8" t="s">
        <v>134</v>
      </c>
      <c r="B126" t="s">
        <v>385</v>
      </c>
      <c r="C126" s="8" t="s">
        <v>394</v>
      </c>
      <c r="D126" s="8" t="s">
        <v>395</v>
      </c>
      <c r="E126" s="8" t="s">
        <v>401</v>
      </c>
      <c r="F126" s="10" t="s">
        <v>405</v>
      </c>
      <c r="G126" s="12">
        <v>20</v>
      </c>
      <c r="H126" s="16">
        <v>14</v>
      </c>
      <c r="I126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26" t="str">
        <f>IF(COUNTIF(Table2[Student ID],Table2[[#This Row],[Student ID]])&gt;1,"Duplicate","OK")</f>
        <v>OK</v>
      </c>
      <c r="K126" t="str">
        <f>IF(Table2[[#This Row],[Monthly Payment ($)]]&gt;50, "Unusual","OK")</f>
        <v>OK</v>
      </c>
    </row>
    <row r="127" spans="1:11" x14ac:dyDescent="0.35">
      <c r="A127" s="8" t="s">
        <v>135</v>
      </c>
      <c r="B127" t="s">
        <v>389</v>
      </c>
      <c r="C127" s="8" t="s">
        <v>390</v>
      </c>
      <c r="D127" s="8" t="s">
        <v>396</v>
      </c>
      <c r="E127" s="8" t="s">
        <v>401</v>
      </c>
      <c r="F127" s="10" t="s">
        <v>406</v>
      </c>
      <c r="G127" s="12">
        <v>50</v>
      </c>
      <c r="H127" s="16">
        <v>3</v>
      </c>
      <c r="I127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27" t="str">
        <f>IF(COUNTIF(Table2[Student ID],Table2[[#This Row],[Student ID]])&gt;1,"Duplicate","OK")</f>
        <v>OK</v>
      </c>
      <c r="K127" t="str">
        <f>IF(Table2[[#This Row],[Monthly Payment ($)]]&gt;50, "Unusual","OK")</f>
        <v>OK</v>
      </c>
    </row>
    <row r="128" spans="1:11" x14ac:dyDescent="0.35">
      <c r="A128" s="8" t="s">
        <v>136</v>
      </c>
      <c r="B128" t="s">
        <v>389</v>
      </c>
      <c r="C128" s="8" t="s">
        <v>394</v>
      </c>
      <c r="D128" s="8" t="s">
        <v>397</v>
      </c>
      <c r="E128" s="8" t="s">
        <v>400</v>
      </c>
      <c r="F128" s="10" t="s">
        <v>405</v>
      </c>
      <c r="G128" s="12">
        <v>0</v>
      </c>
      <c r="H128" s="16">
        <v>2</v>
      </c>
      <c r="I128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28" t="str">
        <f>IF(COUNTIF(Table2[Student ID],Table2[[#This Row],[Student ID]])&gt;1,"Duplicate","OK")</f>
        <v>OK</v>
      </c>
      <c r="K128" t="str">
        <f>IF(Table2[[#This Row],[Monthly Payment ($)]]&gt;50, "Unusual","OK")</f>
        <v>OK</v>
      </c>
    </row>
    <row r="129" spans="1:11" x14ac:dyDescent="0.35">
      <c r="A129" s="8" t="s">
        <v>137</v>
      </c>
      <c r="B129" t="s">
        <v>386</v>
      </c>
      <c r="C129" s="8" t="s">
        <v>390</v>
      </c>
      <c r="D129" s="8" t="s">
        <v>396</v>
      </c>
      <c r="E129" s="8" t="s">
        <v>398</v>
      </c>
      <c r="F129" s="10" t="s">
        <v>406</v>
      </c>
      <c r="G129" s="12">
        <v>50</v>
      </c>
      <c r="H129" s="16">
        <v>14</v>
      </c>
      <c r="I129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29" t="str">
        <f>IF(COUNTIF(Table2[Student ID],Table2[[#This Row],[Student ID]])&gt;1,"Duplicate","OK")</f>
        <v>OK</v>
      </c>
      <c r="K129" t="str">
        <f>IF(Table2[[#This Row],[Monthly Payment ($)]]&gt;50, "Unusual","OK")</f>
        <v>OK</v>
      </c>
    </row>
    <row r="130" spans="1:11" x14ac:dyDescent="0.35">
      <c r="A130" s="8" t="s">
        <v>138</v>
      </c>
      <c r="B130" t="s">
        <v>386</v>
      </c>
      <c r="C130" s="8" t="s">
        <v>394</v>
      </c>
      <c r="D130" s="8" t="s">
        <v>396</v>
      </c>
      <c r="E130" s="8" t="s">
        <v>401</v>
      </c>
      <c r="F130" s="10" t="s">
        <v>404</v>
      </c>
      <c r="G130" s="12">
        <v>50</v>
      </c>
      <c r="H130" s="16">
        <v>1</v>
      </c>
      <c r="I130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30" t="str">
        <f>IF(COUNTIF(Table2[Student ID],Table2[[#This Row],[Student ID]])&gt;1,"Duplicate","OK")</f>
        <v>OK</v>
      </c>
      <c r="K130" t="str">
        <f>IF(Table2[[#This Row],[Monthly Payment ($)]]&gt;50, "Unusual","OK")</f>
        <v>OK</v>
      </c>
    </row>
    <row r="131" spans="1:11" x14ac:dyDescent="0.35">
      <c r="A131" s="8" t="s">
        <v>139</v>
      </c>
      <c r="B131" t="s">
        <v>387</v>
      </c>
      <c r="C131" s="8" t="s">
        <v>390</v>
      </c>
      <c r="D131" s="8" t="s">
        <v>396</v>
      </c>
      <c r="E131" s="8" t="s">
        <v>398</v>
      </c>
      <c r="F131" s="10" t="s">
        <v>402</v>
      </c>
      <c r="G131" s="12">
        <v>50</v>
      </c>
      <c r="H131" s="16">
        <v>4</v>
      </c>
      <c r="I131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31" t="str">
        <f>IF(COUNTIF(Table2[Student ID],Table2[[#This Row],[Student ID]])&gt;1,"Duplicate","OK")</f>
        <v>OK</v>
      </c>
      <c r="K131" t="str">
        <f>IF(Table2[[#This Row],[Monthly Payment ($)]]&gt;50, "Unusual","OK")</f>
        <v>OK</v>
      </c>
    </row>
    <row r="132" spans="1:11" x14ac:dyDescent="0.35">
      <c r="A132" s="8" t="s">
        <v>140</v>
      </c>
      <c r="B132" t="s">
        <v>386</v>
      </c>
      <c r="C132" s="8" t="s">
        <v>391</v>
      </c>
      <c r="D132" s="8" t="s">
        <v>396</v>
      </c>
      <c r="E132" s="8" t="s">
        <v>398</v>
      </c>
      <c r="F132" s="10" t="s">
        <v>404</v>
      </c>
      <c r="G132" s="12">
        <v>50</v>
      </c>
      <c r="H132" s="16">
        <v>2</v>
      </c>
      <c r="I132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32" t="str">
        <f>IF(COUNTIF(Table2[Student ID],Table2[[#This Row],[Student ID]])&gt;1,"Duplicate","OK")</f>
        <v>OK</v>
      </c>
      <c r="K132" t="str">
        <f>IF(Table2[[#This Row],[Monthly Payment ($)]]&gt;50, "Unusual","OK")</f>
        <v>OK</v>
      </c>
    </row>
    <row r="133" spans="1:11" x14ac:dyDescent="0.35">
      <c r="A133" s="8" t="s">
        <v>141</v>
      </c>
      <c r="B133" t="s">
        <v>385</v>
      </c>
      <c r="C133" s="8" t="s">
        <v>390</v>
      </c>
      <c r="D133" s="8" t="s">
        <v>397</v>
      </c>
      <c r="E133" s="8" t="s">
        <v>398</v>
      </c>
      <c r="F133" s="10" t="s">
        <v>406</v>
      </c>
      <c r="G133" s="12">
        <v>0</v>
      </c>
      <c r="H133" s="16">
        <v>19</v>
      </c>
      <c r="I133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33" t="str">
        <f>IF(COUNTIF(Table2[Student ID],Table2[[#This Row],[Student ID]])&gt;1,"Duplicate","OK")</f>
        <v>OK</v>
      </c>
      <c r="K133" t="str">
        <f>IF(Table2[[#This Row],[Monthly Payment ($)]]&gt;50, "Unusual","OK")</f>
        <v>OK</v>
      </c>
    </row>
    <row r="134" spans="1:11" x14ac:dyDescent="0.35">
      <c r="A134" s="8" t="s">
        <v>142</v>
      </c>
      <c r="B134" t="s">
        <v>389</v>
      </c>
      <c r="C134" s="8" t="s">
        <v>393</v>
      </c>
      <c r="D134" s="8" t="s">
        <v>395</v>
      </c>
      <c r="E134" s="8" t="s">
        <v>401</v>
      </c>
      <c r="F134" s="10" t="s">
        <v>405</v>
      </c>
      <c r="G134" s="12">
        <v>20</v>
      </c>
      <c r="H134" s="16">
        <v>11</v>
      </c>
      <c r="I134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34" t="str">
        <f>IF(COUNTIF(Table2[Student ID],Table2[[#This Row],[Student ID]])&gt;1,"Duplicate","OK")</f>
        <v>OK</v>
      </c>
      <c r="K134" t="str">
        <f>IF(Table2[[#This Row],[Monthly Payment ($)]]&gt;50, "Unusual","OK")</f>
        <v>OK</v>
      </c>
    </row>
    <row r="135" spans="1:11" x14ac:dyDescent="0.35">
      <c r="A135" s="8" t="s">
        <v>143</v>
      </c>
      <c r="B135" t="s">
        <v>388</v>
      </c>
      <c r="C135" s="8" t="s">
        <v>392</v>
      </c>
      <c r="D135" s="8" t="s">
        <v>395</v>
      </c>
      <c r="E135" s="8" t="s">
        <v>398</v>
      </c>
      <c r="F135" s="10" t="s">
        <v>403</v>
      </c>
      <c r="G135" s="12">
        <v>20</v>
      </c>
      <c r="H135" s="16">
        <v>11</v>
      </c>
      <c r="I135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35" t="str">
        <f>IF(COUNTIF(Table2[Student ID],Table2[[#This Row],[Student ID]])&gt;1,"Duplicate","OK")</f>
        <v>OK</v>
      </c>
      <c r="K135" t="str">
        <f>IF(Table2[[#This Row],[Monthly Payment ($)]]&gt;50, "Unusual","OK")</f>
        <v>OK</v>
      </c>
    </row>
    <row r="136" spans="1:11" x14ac:dyDescent="0.35">
      <c r="A136" s="8" t="s">
        <v>144</v>
      </c>
      <c r="B136" t="s">
        <v>388</v>
      </c>
      <c r="C136" s="8" t="s">
        <v>394</v>
      </c>
      <c r="D136" s="8" t="s">
        <v>395</v>
      </c>
      <c r="E136" s="8" t="s">
        <v>401</v>
      </c>
      <c r="F136" s="10" t="s">
        <v>406</v>
      </c>
      <c r="G136" s="12">
        <v>20</v>
      </c>
      <c r="H136" s="16">
        <v>10</v>
      </c>
      <c r="I136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36" t="str">
        <f>IF(COUNTIF(Table2[Student ID],Table2[[#This Row],[Student ID]])&gt;1,"Duplicate","OK")</f>
        <v>OK</v>
      </c>
      <c r="K136" t="str">
        <f>IF(Table2[[#This Row],[Monthly Payment ($)]]&gt;50, "Unusual","OK")</f>
        <v>OK</v>
      </c>
    </row>
    <row r="137" spans="1:11" x14ac:dyDescent="0.35">
      <c r="A137" s="8" t="s">
        <v>145</v>
      </c>
      <c r="B137" t="s">
        <v>389</v>
      </c>
      <c r="C137" s="8" t="s">
        <v>392</v>
      </c>
      <c r="D137" s="8" t="s">
        <v>396</v>
      </c>
      <c r="E137" s="8" t="s">
        <v>401</v>
      </c>
      <c r="F137" s="10" t="s">
        <v>403</v>
      </c>
      <c r="G137" s="12">
        <v>50</v>
      </c>
      <c r="H137" s="16">
        <v>5</v>
      </c>
      <c r="I137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37" t="str">
        <f>IF(COUNTIF(Table2[Student ID],Table2[[#This Row],[Student ID]])&gt;1,"Duplicate","OK")</f>
        <v>OK</v>
      </c>
      <c r="K137" t="str">
        <f>IF(Table2[[#This Row],[Monthly Payment ($)]]&gt;50, "Unusual","OK")</f>
        <v>OK</v>
      </c>
    </row>
    <row r="138" spans="1:11" x14ac:dyDescent="0.35">
      <c r="A138" s="8" t="s">
        <v>146</v>
      </c>
      <c r="B138" t="s">
        <v>385</v>
      </c>
      <c r="C138" s="8" t="s">
        <v>392</v>
      </c>
      <c r="D138" s="8" t="s">
        <v>396</v>
      </c>
      <c r="E138" s="8" t="s">
        <v>401</v>
      </c>
      <c r="F138" s="10" t="s">
        <v>405</v>
      </c>
      <c r="G138" s="12">
        <v>50</v>
      </c>
      <c r="H138" s="16">
        <v>5</v>
      </c>
      <c r="I138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38" t="str">
        <f>IF(COUNTIF(Table2[Student ID],Table2[[#This Row],[Student ID]])&gt;1,"Duplicate","OK")</f>
        <v>OK</v>
      </c>
      <c r="K138" t="str">
        <f>IF(Table2[[#This Row],[Monthly Payment ($)]]&gt;50, "Unusual","OK")</f>
        <v>OK</v>
      </c>
    </row>
    <row r="139" spans="1:11" x14ac:dyDescent="0.35">
      <c r="A139" s="8" t="s">
        <v>147</v>
      </c>
      <c r="B139" t="s">
        <v>385</v>
      </c>
      <c r="C139" s="8" t="s">
        <v>390</v>
      </c>
      <c r="D139" s="8" t="s">
        <v>395</v>
      </c>
      <c r="E139" s="8" t="s">
        <v>401</v>
      </c>
      <c r="F139" s="10" t="s">
        <v>406</v>
      </c>
      <c r="G139" s="12">
        <v>20</v>
      </c>
      <c r="H139" s="16">
        <v>15</v>
      </c>
      <c r="I139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39" t="str">
        <f>IF(COUNTIF(Table2[Student ID],Table2[[#This Row],[Student ID]])&gt;1,"Duplicate","OK")</f>
        <v>OK</v>
      </c>
      <c r="K139" t="str">
        <f>IF(Table2[[#This Row],[Monthly Payment ($)]]&gt;50, "Unusual","OK")</f>
        <v>OK</v>
      </c>
    </row>
    <row r="140" spans="1:11" x14ac:dyDescent="0.35">
      <c r="A140" s="8" t="s">
        <v>148</v>
      </c>
      <c r="B140" t="s">
        <v>385</v>
      </c>
      <c r="C140" s="8" t="s">
        <v>393</v>
      </c>
      <c r="D140" s="8" t="s">
        <v>397</v>
      </c>
      <c r="E140" s="8" t="s">
        <v>398</v>
      </c>
      <c r="F140" s="10" t="s">
        <v>403</v>
      </c>
      <c r="G140" s="12">
        <v>0</v>
      </c>
      <c r="H140" s="16">
        <v>14</v>
      </c>
      <c r="I140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40" t="str">
        <f>IF(COUNTIF(Table2[Student ID],Table2[[#This Row],[Student ID]])&gt;1,"Duplicate","OK")</f>
        <v>OK</v>
      </c>
      <c r="K140" t="str">
        <f>IF(Table2[[#This Row],[Monthly Payment ($)]]&gt;50, "Unusual","OK")</f>
        <v>OK</v>
      </c>
    </row>
    <row r="141" spans="1:11" x14ac:dyDescent="0.35">
      <c r="A141" s="8" t="s">
        <v>149</v>
      </c>
      <c r="B141" t="s">
        <v>387</v>
      </c>
      <c r="C141" s="8" t="s">
        <v>392</v>
      </c>
      <c r="D141" s="8" t="s">
        <v>395</v>
      </c>
      <c r="E141" s="8" t="s">
        <v>398</v>
      </c>
      <c r="F141" s="10" t="s">
        <v>405</v>
      </c>
      <c r="G141" s="12">
        <v>20</v>
      </c>
      <c r="H141" s="16">
        <v>2</v>
      </c>
      <c r="I141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41" t="str">
        <f>IF(COUNTIF(Table2[Student ID],Table2[[#This Row],[Student ID]])&gt;1,"Duplicate","OK")</f>
        <v>OK</v>
      </c>
      <c r="K141" t="str">
        <f>IF(Table2[[#This Row],[Monthly Payment ($)]]&gt;50, "Unusual","OK")</f>
        <v>OK</v>
      </c>
    </row>
    <row r="142" spans="1:11" x14ac:dyDescent="0.35">
      <c r="A142" s="8" t="s">
        <v>150</v>
      </c>
      <c r="B142" t="s">
        <v>388</v>
      </c>
      <c r="C142" s="8" t="s">
        <v>393</v>
      </c>
      <c r="D142" s="8" t="s">
        <v>395</v>
      </c>
      <c r="E142" s="8" t="s">
        <v>399</v>
      </c>
      <c r="F142" s="10" t="s">
        <v>404</v>
      </c>
      <c r="G142" s="12">
        <v>20</v>
      </c>
      <c r="H142" s="16">
        <v>8</v>
      </c>
      <c r="I142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42" t="str">
        <f>IF(COUNTIF(Table2[Student ID],Table2[[#This Row],[Student ID]])&gt;1,"Duplicate","OK")</f>
        <v>OK</v>
      </c>
      <c r="K142" t="str">
        <f>IF(Table2[[#This Row],[Monthly Payment ($)]]&gt;50, "Unusual","OK")</f>
        <v>OK</v>
      </c>
    </row>
    <row r="143" spans="1:11" x14ac:dyDescent="0.35">
      <c r="A143" s="8" t="s">
        <v>151</v>
      </c>
      <c r="B143" t="s">
        <v>388</v>
      </c>
      <c r="C143" s="8" t="s">
        <v>391</v>
      </c>
      <c r="D143" s="8" t="s">
        <v>395</v>
      </c>
      <c r="E143" s="8" t="s">
        <v>400</v>
      </c>
      <c r="F143" s="10" t="s">
        <v>405</v>
      </c>
      <c r="G143" s="12">
        <v>20</v>
      </c>
      <c r="H143" s="16">
        <v>15</v>
      </c>
      <c r="I143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43" t="str">
        <f>IF(COUNTIF(Table2[Student ID],Table2[[#This Row],[Student ID]])&gt;1,"Duplicate","OK")</f>
        <v>OK</v>
      </c>
      <c r="K143" t="str">
        <f>IF(Table2[[#This Row],[Monthly Payment ($)]]&gt;50, "Unusual","OK")</f>
        <v>OK</v>
      </c>
    </row>
    <row r="144" spans="1:11" x14ac:dyDescent="0.35">
      <c r="A144" s="8" t="s">
        <v>152</v>
      </c>
      <c r="B144" t="s">
        <v>386</v>
      </c>
      <c r="C144" s="8" t="s">
        <v>391</v>
      </c>
      <c r="D144" s="8" t="s">
        <v>396</v>
      </c>
      <c r="E144" s="8" t="s">
        <v>398</v>
      </c>
      <c r="F144" s="10" t="s">
        <v>405</v>
      </c>
      <c r="G144" s="12">
        <v>50</v>
      </c>
      <c r="H144" s="16">
        <v>12</v>
      </c>
      <c r="I144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44" t="str">
        <f>IF(COUNTIF(Table2[Student ID],Table2[[#This Row],[Student ID]])&gt;1,"Duplicate","OK")</f>
        <v>OK</v>
      </c>
      <c r="K144" t="str">
        <f>IF(Table2[[#This Row],[Monthly Payment ($)]]&gt;50, "Unusual","OK")</f>
        <v>OK</v>
      </c>
    </row>
    <row r="145" spans="1:11" x14ac:dyDescent="0.35">
      <c r="A145" s="8" t="s">
        <v>153</v>
      </c>
      <c r="B145" t="s">
        <v>385</v>
      </c>
      <c r="C145" s="8" t="s">
        <v>390</v>
      </c>
      <c r="D145" s="8" t="s">
        <v>396</v>
      </c>
      <c r="E145" s="8" t="s">
        <v>400</v>
      </c>
      <c r="F145" s="10" t="s">
        <v>406</v>
      </c>
      <c r="G145" s="12">
        <v>50</v>
      </c>
      <c r="H145" s="16">
        <v>7</v>
      </c>
      <c r="I145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45" t="str">
        <f>IF(COUNTIF(Table2[Student ID],Table2[[#This Row],[Student ID]])&gt;1,"Duplicate","OK")</f>
        <v>OK</v>
      </c>
      <c r="K145" t="str">
        <f>IF(Table2[[#This Row],[Monthly Payment ($)]]&gt;50, "Unusual","OK")</f>
        <v>OK</v>
      </c>
    </row>
    <row r="146" spans="1:11" x14ac:dyDescent="0.35">
      <c r="A146" s="8" t="s">
        <v>154</v>
      </c>
      <c r="B146" t="s">
        <v>386</v>
      </c>
      <c r="C146" s="8" t="s">
        <v>390</v>
      </c>
      <c r="D146" s="8" t="s">
        <v>395</v>
      </c>
      <c r="E146" s="8" t="s">
        <v>400</v>
      </c>
      <c r="F146" s="10" t="s">
        <v>404</v>
      </c>
      <c r="G146" s="12">
        <v>20</v>
      </c>
      <c r="H146" s="16">
        <v>16</v>
      </c>
      <c r="I146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46" t="str">
        <f>IF(COUNTIF(Table2[Student ID],Table2[[#This Row],[Student ID]])&gt;1,"Duplicate","OK")</f>
        <v>OK</v>
      </c>
      <c r="K146" t="str">
        <f>IF(Table2[[#This Row],[Monthly Payment ($)]]&gt;50, "Unusual","OK")</f>
        <v>OK</v>
      </c>
    </row>
    <row r="147" spans="1:11" x14ac:dyDescent="0.35">
      <c r="A147" s="8" t="s">
        <v>155</v>
      </c>
      <c r="B147" t="s">
        <v>387</v>
      </c>
      <c r="C147" s="8" t="s">
        <v>392</v>
      </c>
      <c r="D147" s="8" t="s">
        <v>395</v>
      </c>
      <c r="E147" s="8" t="s">
        <v>401</v>
      </c>
      <c r="F147" s="10" t="s">
        <v>406</v>
      </c>
      <c r="G147" s="12">
        <v>20</v>
      </c>
      <c r="H147" s="16">
        <v>16</v>
      </c>
      <c r="I147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47" t="str">
        <f>IF(COUNTIF(Table2[Student ID],Table2[[#This Row],[Student ID]])&gt;1,"Duplicate","OK")</f>
        <v>OK</v>
      </c>
      <c r="K147" t="str">
        <f>IF(Table2[[#This Row],[Monthly Payment ($)]]&gt;50, "Unusual","OK")</f>
        <v>OK</v>
      </c>
    </row>
    <row r="148" spans="1:11" x14ac:dyDescent="0.35">
      <c r="A148" s="8" t="s">
        <v>156</v>
      </c>
      <c r="B148" t="s">
        <v>388</v>
      </c>
      <c r="C148" s="8" t="s">
        <v>391</v>
      </c>
      <c r="D148" s="8" t="s">
        <v>395</v>
      </c>
      <c r="E148" s="8" t="s">
        <v>398</v>
      </c>
      <c r="F148" s="10" t="s">
        <v>405</v>
      </c>
      <c r="G148" s="12">
        <v>20</v>
      </c>
      <c r="H148" s="16">
        <v>18</v>
      </c>
      <c r="I148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48" t="str">
        <f>IF(COUNTIF(Table2[Student ID],Table2[[#This Row],[Student ID]])&gt;1,"Duplicate","OK")</f>
        <v>OK</v>
      </c>
      <c r="K148" t="str">
        <f>IF(Table2[[#This Row],[Monthly Payment ($)]]&gt;50, "Unusual","OK")</f>
        <v>OK</v>
      </c>
    </row>
    <row r="149" spans="1:11" x14ac:dyDescent="0.35">
      <c r="A149" s="8" t="s">
        <v>157</v>
      </c>
      <c r="B149" t="s">
        <v>387</v>
      </c>
      <c r="C149" s="8" t="s">
        <v>391</v>
      </c>
      <c r="D149" s="8" t="s">
        <v>396</v>
      </c>
      <c r="E149" s="8" t="s">
        <v>401</v>
      </c>
      <c r="F149" s="10" t="s">
        <v>405</v>
      </c>
      <c r="G149" s="12">
        <v>50</v>
      </c>
      <c r="H149" s="16">
        <v>5</v>
      </c>
      <c r="I149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49" t="str">
        <f>IF(COUNTIF(Table2[Student ID],Table2[[#This Row],[Student ID]])&gt;1,"Duplicate","OK")</f>
        <v>OK</v>
      </c>
      <c r="K149" t="str">
        <f>IF(Table2[[#This Row],[Monthly Payment ($)]]&gt;50, "Unusual","OK")</f>
        <v>OK</v>
      </c>
    </row>
    <row r="150" spans="1:11" x14ac:dyDescent="0.35">
      <c r="A150" s="8" t="s">
        <v>158</v>
      </c>
      <c r="B150" t="s">
        <v>388</v>
      </c>
      <c r="C150" s="8" t="s">
        <v>390</v>
      </c>
      <c r="D150" s="8" t="s">
        <v>397</v>
      </c>
      <c r="E150" s="8" t="s">
        <v>401</v>
      </c>
      <c r="F150" s="10" t="s">
        <v>406</v>
      </c>
      <c r="G150" s="12">
        <v>0</v>
      </c>
      <c r="H150" s="16">
        <v>7</v>
      </c>
      <c r="I150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50" t="str">
        <f>IF(COUNTIF(Table2[Student ID],Table2[[#This Row],[Student ID]])&gt;1,"Duplicate","OK")</f>
        <v>OK</v>
      </c>
      <c r="K150" t="str">
        <f>IF(Table2[[#This Row],[Monthly Payment ($)]]&gt;50, "Unusual","OK")</f>
        <v>OK</v>
      </c>
    </row>
    <row r="151" spans="1:11" x14ac:dyDescent="0.35">
      <c r="A151" s="8" t="s">
        <v>159</v>
      </c>
      <c r="B151" t="s">
        <v>386</v>
      </c>
      <c r="C151" s="8" t="s">
        <v>393</v>
      </c>
      <c r="D151" s="8" t="s">
        <v>395</v>
      </c>
      <c r="E151" s="8" t="s">
        <v>399</v>
      </c>
      <c r="F151" s="10" t="s">
        <v>402</v>
      </c>
      <c r="G151" s="12">
        <v>20</v>
      </c>
      <c r="H151" s="16">
        <v>19</v>
      </c>
      <c r="I151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51" t="str">
        <f>IF(COUNTIF(Table2[Student ID],Table2[[#This Row],[Student ID]])&gt;1,"Duplicate","OK")</f>
        <v>OK</v>
      </c>
      <c r="K151" t="str">
        <f>IF(Table2[[#This Row],[Monthly Payment ($)]]&gt;50, "Unusual","OK")</f>
        <v>OK</v>
      </c>
    </row>
    <row r="152" spans="1:11" x14ac:dyDescent="0.35">
      <c r="A152" s="8" t="s">
        <v>160</v>
      </c>
      <c r="B152" t="s">
        <v>387</v>
      </c>
      <c r="C152" s="8" t="s">
        <v>390</v>
      </c>
      <c r="D152" s="8" t="s">
        <v>395</v>
      </c>
      <c r="E152" s="8" t="s">
        <v>400</v>
      </c>
      <c r="F152" s="10" t="s">
        <v>405</v>
      </c>
      <c r="G152" s="12">
        <v>20</v>
      </c>
      <c r="H152" s="16">
        <v>12</v>
      </c>
      <c r="I152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52" t="str">
        <f>IF(COUNTIF(Table2[Student ID],Table2[[#This Row],[Student ID]])&gt;1,"Duplicate","OK")</f>
        <v>OK</v>
      </c>
      <c r="K152" t="str">
        <f>IF(Table2[[#This Row],[Monthly Payment ($)]]&gt;50, "Unusual","OK")</f>
        <v>OK</v>
      </c>
    </row>
    <row r="153" spans="1:11" x14ac:dyDescent="0.35">
      <c r="A153" s="8" t="s">
        <v>161</v>
      </c>
      <c r="B153" t="s">
        <v>387</v>
      </c>
      <c r="C153" s="8" t="s">
        <v>394</v>
      </c>
      <c r="D153" s="8" t="s">
        <v>397</v>
      </c>
      <c r="E153" s="8" t="s">
        <v>401</v>
      </c>
      <c r="F153" s="10" t="s">
        <v>404</v>
      </c>
      <c r="G153" s="12">
        <v>0</v>
      </c>
      <c r="H153" s="16">
        <v>20</v>
      </c>
      <c r="I153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53" t="str">
        <f>IF(COUNTIF(Table2[Student ID],Table2[[#This Row],[Student ID]])&gt;1,"Duplicate","OK")</f>
        <v>OK</v>
      </c>
      <c r="K153" t="str">
        <f>IF(Table2[[#This Row],[Monthly Payment ($)]]&gt;50, "Unusual","OK")</f>
        <v>OK</v>
      </c>
    </row>
    <row r="154" spans="1:11" x14ac:dyDescent="0.35">
      <c r="A154" s="8" t="s">
        <v>162</v>
      </c>
      <c r="B154" t="s">
        <v>386</v>
      </c>
      <c r="C154" s="8" t="s">
        <v>391</v>
      </c>
      <c r="D154" s="8" t="s">
        <v>396</v>
      </c>
      <c r="E154" s="8" t="s">
        <v>399</v>
      </c>
      <c r="F154" s="10" t="s">
        <v>406</v>
      </c>
      <c r="G154" s="12">
        <v>50</v>
      </c>
      <c r="H154" s="16">
        <v>16</v>
      </c>
      <c r="I154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54" t="str">
        <f>IF(COUNTIF(Table2[Student ID],Table2[[#This Row],[Student ID]])&gt;1,"Duplicate","OK")</f>
        <v>OK</v>
      </c>
      <c r="K154" t="str">
        <f>IF(Table2[[#This Row],[Monthly Payment ($)]]&gt;50, "Unusual","OK")</f>
        <v>OK</v>
      </c>
    </row>
    <row r="155" spans="1:11" x14ac:dyDescent="0.35">
      <c r="A155" s="8" t="s">
        <v>163</v>
      </c>
      <c r="B155" t="s">
        <v>388</v>
      </c>
      <c r="C155" s="8" t="s">
        <v>393</v>
      </c>
      <c r="D155" s="8" t="s">
        <v>395</v>
      </c>
      <c r="E155" s="8" t="s">
        <v>400</v>
      </c>
      <c r="F155" s="10" t="s">
        <v>403</v>
      </c>
      <c r="G155" s="12">
        <v>20</v>
      </c>
      <c r="H155" s="16">
        <v>1</v>
      </c>
      <c r="I155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55" t="str">
        <f>IF(COUNTIF(Table2[Student ID],Table2[[#This Row],[Student ID]])&gt;1,"Duplicate","OK")</f>
        <v>OK</v>
      </c>
      <c r="K155" t="str">
        <f>IF(Table2[[#This Row],[Monthly Payment ($)]]&gt;50, "Unusual","OK")</f>
        <v>OK</v>
      </c>
    </row>
    <row r="156" spans="1:11" x14ac:dyDescent="0.35">
      <c r="A156" s="8" t="s">
        <v>164</v>
      </c>
      <c r="B156" t="s">
        <v>386</v>
      </c>
      <c r="C156" s="8" t="s">
        <v>390</v>
      </c>
      <c r="D156" s="8" t="s">
        <v>397</v>
      </c>
      <c r="E156" s="8" t="s">
        <v>401</v>
      </c>
      <c r="F156" s="10" t="s">
        <v>404</v>
      </c>
      <c r="G156" s="12">
        <v>0</v>
      </c>
      <c r="H156" s="16">
        <v>13</v>
      </c>
      <c r="I156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56" t="str">
        <f>IF(COUNTIF(Table2[Student ID],Table2[[#This Row],[Student ID]])&gt;1,"Duplicate","OK")</f>
        <v>OK</v>
      </c>
      <c r="K156" t="str">
        <f>IF(Table2[[#This Row],[Monthly Payment ($)]]&gt;50, "Unusual","OK")</f>
        <v>OK</v>
      </c>
    </row>
    <row r="157" spans="1:11" x14ac:dyDescent="0.35">
      <c r="A157" s="8" t="s">
        <v>165</v>
      </c>
      <c r="B157" t="s">
        <v>388</v>
      </c>
      <c r="C157" s="8" t="s">
        <v>390</v>
      </c>
      <c r="D157" s="8" t="s">
        <v>397</v>
      </c>
      <c r="E157" s="8" t="s">
        <v>401</v>
      </c>
      <c r="F157" s="10" t="s">
        <v>406</v>
      </c>
      <c r="G157" s="12">
        <v>0</v>
      </c>
      <c r="H157" s="16">
        <v>14</v>
      </c>
      <c r="I157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57" t="str">
        <f>IF(COUNTIF(Table2[Student ID],Table2[[#This Row],[Student ID]])&gt;1,"Duplicate","OK")</f>
        <v>OK</v>
      </c>
      <c r="K157" t="str">
        <f>IF(Table2[[#This Row],[Monthly Payment ($)]]&gt;50, "Unusual","OK")</f>
        <v>OK</v>
      </c>
    </row>
    <row r="158" spans="1:11" x14ac:dyDescent="0.35">
      <c r="A158" s="8" t="s">
        <v>166</v>
      </c>
      <c r="B158" t="s">
        <v>389</v>
      </c>
      <c r="C158" s="8" t="s">
        <v>393</v>
      </c>
      <c r="D158" s="8" t="s">
        <v>397</v>
      </c>
      <c r="E158" s="8" t="s">
        <v>401</v>
      </c>
      <c r="F158" s="10" t="s">
        <v>405</v>
      </c>
      <c r="G158" s="12">
        <v>0</v>
      </c>
      <c r="H158" s="16">
        <v>0</v>
      </c>
      <c r="I158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58" t="str">
        <f>IF(COUNTIF(Table2[Student ID],Table2[[#This Row],[Student ID]])&gt;1,"Duplicate","OK")</f>
        <v>OK</v>
      </c>
      <c r="K158" t="str">
        <f>IF(Table2[[#This Row],[Monthly Payment ($)]]&gt;50, "Unusual","OK")</f>
        <v>OK</v>
      </c>
    </row>
    <row r="159" spans="1:11" x14ac:dyDescent="0.35">
      <c r="A159" s="8" t="s">
        <v>167</v>
      </c>
      <c r="B159" t="s">
        <v>387</v>
      </c>
      <c r="C159" s="8" t="s">
        <v>394</v>
      </c>
      <c r="D159" s="8" t="s">
        <v>397</v>
      </c>
      <c r="E159" s="8" t="s">
        <v>399</v>
      </c>
      <c r="F159" s="10" t="s">
        <v>403</v>
      </c>
      <c r="G159" s="12">
        <v>0</v>
      </c>
      <c r="H159" s="16">
        <v>10</v>
      </c>
      <c r="I159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59" t="str">
        <f>IF(COUNTIF(Table2[Student ID],Table2[[#This Row],[Student ID]])&gt;1,"Duplicate","OK")</f>
        <v>OK</v>
      </c>
      <c r="K159" t="str">
        <f>IF(Table2[[#This Row],[Monthly Payment ($)]]&gt;50, "Unusual","OK")</f>
        <v>OK</v>
      </c>
    </row>
    <row r="160" spans="1:11" x14ac:dyDescent="0.35">
      <c r="A160" s="8" t="s">
        <v>168</v>
      </c>
      <c r="B160" t="s">
        <v>386</v>
      </c>
      <c r="C160" s="8" t="s">
        <v>391</v>
      </c>
      <c r="D160" s="8" t="s">
        <v>395</v>
      </c>
      <c r="E160" s="8" t="s">
        <v>398</v>
      </c>
      <c r="F160" s="10" t="s">
        <v>404</v>
      </c>
      <c r="G160" s="12">
        <v>20</v>
      </c>
      <c r="H160" s="16">
        <v>10</v>
      </c>
      <c r="I160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60" t="str">
        <f>IF(COUNTIF(Table2[Student ID],Table2[[#This Row],[Student ID]])&gt;1,"Duplicate","OK")</f>
        <v>OK</v>
      </c>
      <c r="K160" t="str">
        <f>IF(Table2[[#This Row],[Monthly Payment ($)]]&gt;50, "Unusual","OK")</f>
        <v>OK</v>
      </c>
    </row>
    <row r="161" spans="1:11" x14ac:dyDescent="0.35">
      <c r="A161" s="8" t="s">
        <v>169</v>
      </c>
      <c r="B161" t="s">
        <v>385</v>
      </c>
      <c r="C161" s="8" t="s">
        <v>392</v>
      </c>
      <c r="D161" s="8" t="s">
        <v>396</v>
      </c>
      <c r="E161" s="8" t="s">
        <v>400</v>
      </c>
      <c r="F161" s="10" t="s">
        <v>404</v>
      </c>
      <c r="G161" s="12">
        <v>50</v>
      </c>
      <c r="H161" s="16">
        <v>15</v>
      </c>
      <c r="I161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61" t="str">
        <f>IF(COUNTIF(Table2[Student ID],Table2[[#This Row],[Student ID]])&gt;1,"Duplicate","OK")</f>
        <v>OK</v>
      </c>
      <c r="K161" t="str">
        <f>IF(Table2[[#This Row],[Monthly Payment ($)]]&gt;50, "Unusual","OK")</f>
        <v>OK</v>
      </c>
    </row>
    <row r="162" spans="1:11" x14ac:dyDescent="0.35">
      <c r="A162" s="8" t="s">
        <v>170</v>
      </c>
      <c r="B162" t="s">
        <v>385</v>
      </c>
      <c r="C162" s="8" t="s">
        <v>393</v>
      </c>
      <c r="D162" s="8" t="s">
        <v>397</v>
      </c>
      <c r="E162" s="8" t="s">
        <v>401</v>
      </c>
      <c r="F162" s="10" t="s">
        <v>406</v>
      </c>
      <c r="G162" s="12">
        <v>0</v>
      </c>
      <c r="H162" s="16">
        <v>16</v>
      </c>
      <c r="I162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62" t="str">
        <f>IF(COUNTIF(Table2[Student ID],Table2[[#This Row],[Student ID]])&gt;1,"Duplicate","OK")</f>
        <v>OK</v>
      </c>
      <c r="K162" t="str">
        <f>IF(Table2[[#This Row],[Monthly Payment ($)]]&gt;50, "Unusual","OK")</f>
        <v>OK</v>
      </c>
    </row>
    <row r="163" spans="1:11" x14ac:dyDescent="0.35">
      <c r="A163" s="8" t="s">
        <v>171</v>
      </c>
      <c r="B163" t="s">
        <v>387</v>
      </c>
      <c r="C163" s="8" t="s">
        <v>391</v>
      </c>
      <c r="D163" s="8" t="s">
        <v>395</v>
      </c>
      <c r="E163" s="8" t="s">
        <v>401</v>
      </c>
      <c r="F163" s="10" t="s">
        <v>406</v>
      </c>
      <c r="G163" s="12">
        <v>20</v>
      </c>
      <c r="H163" s="16">
        <v>3</v>
      </c>
      <c r="I163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63" t="str">
        <f>IF(COUNTIF(Table2[Student ID],Table2[[#This Row],[Student ID]])&gt;1,"Duplicate","OK")</f>
        <v>OK</v>
      </c>
      <c r="K163" t="str">
        <f>IF(Table2[[#This Row],[Monthly Payment ($)]]&gt;50, "Unusual","OK")</f>
        <v>OK</v>
      </c>
    </row>
    <row r="164" spans="1:11" x14ac:dyDescent="0.35">
      <c r="A164" s="8" t="s">
        <v>172</v>
      </c>
      <c r="B164" t="s">
        <v>389</v>
      </c>
      <c r="C164" s="8" t="s">
        <v>391</v>
      </c>
      <c r="D164" s="8" t="s">
        <v>397</v>
      </c>
      <c r="E164" s="8" t="s">
        <v>401</v>
      </c>
      <c r="F164" s="10" t="s">
        <v>402</v>
      </c>
      <c r="G164" s="12">
        <v>0</v>
      </c>
      <c r="H164" s="16">
        <v>1</v>
      </c>
      <c r="I164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64" t="str">
        <f>IF(COUNTIF(Table2[Student ID],Table2[[#This Row],[Student ID]])&gt;1,"Duplicate","OK")</f>
        <v>OK</v>
      </c>
      <c r="K164" t="str">
        <f>IF(Table2[[#This Row],[Monthly Payment ($)]]&gt;50, "Unusual","OK")</f>
        <v>OK</v>
      </c>
    </row>
    <row r="165" spans="1:11" x14ac:dyDescent="0.35">
      <c r="A165" s="8" t="s">
        <v>173</v>
      </c>
      <c r="B165" t="s">
        <v>386</v>
      </c>
      <c r="C165" s="8" t="s">
        <v>393</v>
      </c>
      <c r="D165" s="8" t="s">
        <v>396</v>
      </c>
      <c r="E165" s="8" t="s">
        <v>399</v>
      </c>
      <c r="F165" s="10" t="s">
        <v>405</v>
      </c>
      <c r="G165" s="12">
        <v>50</v>
      </c>
      <c r="H165" s="16">
        <v>14</v>
      </c>
      <c r="I165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65" t="str">
        <f>IF(COUNTIF(Table2[Student ID],Table2[[#This Row],[Student ID]])&gt;1,"Duplicate","OK")</f>
        <v>OK</v>
      </c>
      <c r="K165" t="str">
        <f>IF(Table2[[#This Row],[Monthly Payment ($)]]&gt;50, "Unusual","OK")</f>
        <v>OK</v>
      </c>
    </row>
    <row r="166" spans="1:11" x14ac:dyDescent="0.35">
      <c r="A166" s="8" t="s">
        <v>174</v>
      </c>
      <c r="B166" t="s">
        <v>389</v>
      </c>
      <c r="C166" s="8" t="s">
        <v>394</v>
      </c>
      <c r="D166" s="8" t="s">
        <v>395</v>
      </c>
      <c r="E166" s="8" t="s">
        <v>400</v>
      </c>
      <c r="F166" s="10" t="s">
        <v>406</v>
      </c>
      <c r="G166" s="12">
        <v>20</v>
      </c>
      <c r="H166" s="16">
        <v>18</v>
      </c>
      <c r="I166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66" t="str">
        <f>IF(COUNTIF(Table2[Student ID],Table2[[#This Row],[Student ID]])&gt;1,"Duplicate","OK")</f>
        <v>OK</v>
      </c>
      <c r="K166" t="str">
        <f>IF(Table2[[#This Row],[Monthly Payment ($)]]&gt;50, "Unusual","OK")</f>
        <v>OK</v>
      </c>
    </row>
    <row r="167" spans="1:11" x14ac:dyDescent="0.35">
      <c r="A167" s="8" t="s">
        <v>175</v>
      </c>
      <c r="B167" t="s">
        <v>385</v>
      </c>
      <c r="C167" s="8" t="s">
        <v>390</v>
      </c>
      <c r="D167" s="8" t="s">
        <v>397</v>
      </c>
      <c r="E167" s="8" t="s">
        <v>399</v>
      </c>
      <c r="F167" s="10" t="s">
        <v>402</v>
      </c>
      <c r="G167" s="12">
        <v>0</v>
      </c>
      <c r="H167" s="16">
        <v>20</v>
      </c>
      <c r="I167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67" t="str">
        <f>IF(COUNTIF(Table2[Student ID],Table2[[#This Row],[Student ID]])&gt;1,"Duplicate","OK")</f>
        <v>OK</v>
      </c>
      <c r="K167" t="str">
        <f>IF(Table2[[#This Row],[Monthly Payment ($)]]&gt;50, "Unusual","OK")</f>
        <v>OK</v>
      </c>
    </row>
    <row r="168" spans="1:11" x14ac:dyDescent="0.35">
      <c r="A168" s="8" t="s">
        <v>176</v>
      </c>
      <c r="B168" t="s">
        <v>388</v>
      </c>
      <c r="C168" s="8" t="s">
        <v>390</v>
      </c>
      <c r="D168" s="8" t="s">
        <v>397</v>
      </c>
      <c r="E168" s="8" t="s">
        <v>400</v>
      </c>
      <c r="F168" s="10" t="s">
        <v>403</v>
      </c>
      <c r="G168" s="12">
        <v>0</v>
      </c>
      <c r="H168" s="16">
        <v>11</v>
      </c>
      <c r="I168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68" t="str">
        <f>IF(COUNTIF(Table2[Student ID],Table2[[#This Row],[Student ID]])&gt;1,"Duplicate","OK")</f>
        <v>OK</v>
      </c>
      <c r="K168" t="str">
        <f>IF(Table2[[#This Row],[Monthly Payment ($)]]&gt;50, "Unusual","OK")</f>
        <v>OK</v>
      </c>
    </row>
    <row r="169" spans="1:11" x14ac:dyDescent="0.35">
      <c r="A169" s="8" t="s">
        <v>177</v>
      </c>
      <c r="B169" t="s">
        <v>386</v>
      </c>
      <c r="C169" s="8" t="s">
        <v>390</v>
      </c>
      <c r="D169" s="8" t="s">
        <v>395</v>
      </c>
      <c r="E169" s="8" t="s">
        <v>400</v>
      </c>
      <c r="F169" s="10" t="s">
        <v>402</v>
      </c>
      <c r="G169" s="12">
        <v>20</v>
      </c>
      <c r="H169" s="16">
        <v>17</v>
      </c>
      <c r="I169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69" t="str">
        <f>IF(COUNTIF(Table2[Student ID],Table2[[#This Row],[Student ID]])&gt;1,"Duplicate","OK")</f>
        <v>OK</v>
      </c>
      <c r="K169" t="str">
        <f>IF(Table2[[#This Row],[Monthly Payment ($)]]&gt;50, "Unusual","OK")</f>
        <v>OK</v>
      </c>
    </row>
    <row r="170" spans="1:11" x14ac:dyDescent="0.35">
      <c r="A170" s="8" t="s">
        <v>178</v>
      </c>
      <c r="B170" t="s">
        <v>385</v>
      </c>
      <c r="C170" s="8" t="s">
        <v>391</v>
      </c>
      <c r="D170" s="8" t="s">
        <v>396</v>
      </c>
      <c r="E170" s="8" t="s">
        <v>399</v>
      </c>
      <c r="F170" s="10" t="s">
        <v>403</v>
      </c>
      <c r="G170" s="12">
        <v>50</v>
      </c>
      <c r="H170" s="16">
        <v>19</v>
      </c>
      <c r="I170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70" t="str">
        <f>IF(COUNTIF(Table2[Student ID],Table2[[#This Row],[Student ID]])&gt;1,"Duplicate","OK")</f>
        <v>OK</v>
      </c>
      <c r="K170" t="str">
        <f>IF(Table2[[#This Row],[Monthly Payment ($)]]&gt;50, "Unusual","OK")</f>
        <v>OK</v>
      </c>
    </row>
    <row r="171" spans="1:11" x14ac:dyDescent="0.35">
      <c r="A171" s="8" t="s">
        <v>179</v>
      </c>
      <c r="B171" t="s">
        <v>387</v>
      </c>
      <c r="C171" s="8" t="s">
        <v>392</v>
      </c>
      <c r="D171" s="8" t="s">
        <v>395</v>
      </c>
      <c r="E171" s="8" t="s">
        <v>399</v>
      </c>
      <c r="F171" s="10" t="s">
        <v>403</v>
      </c>
      <c r="G171" s="12">
        <v>20</v>
      </c>
      <c r="H171" s="16">
        <v>1</v>
      </c>
      <c r="I171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71" t="str">
        <f>IF(COUNTIF(Table2[Student ID],Table2[[#This Row],[Student ID]])&gt;1,"Duplicate","OK")</f>
        <v>OK</v>
      </c>
      <c r="K171" t="str">
        <f>IF(Table2[[#This Row],[Monthly Payment ($)]]&gt;50, "Unusual","OK")</f>
        <v>OK</v>
      </c>
    </row>
    <row r="172" spans="1:11" x14ac:dyDescent="0.35">
      <c r="A172" s="8" t="s">
        <v>180</v>
      </c>
      <c r="B172" t="s">
        <v>387</v>
      </c>
      <c r="C172" s="8" t="s">
        <v>393</v>
      </c>
      <c r="D172" s="8" t="s">
        <v>397</v>
      </c>
      <c r="E172" s="8" t="s">
        <v>398</v>
      </c>
      <c r="F172" s="10" t="s">
        <v>402</v>
      </c>
      <c r="G172" s="12">
        <v>0</v>
      </c>
      <c r="H172" s="16">
        <v>4</v>
      </c>
      <c r="I172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72" t="str">
        <f>IF(COUNTIF(Table2[Student ID],Table2[[#This Row],[Student ID]])&gt;1,"Duplicate","OK")</f>
        <v>OK</v>
      </c>
      <c r="K172" t="str">
        <f>IF(Table2[[#This Row],[Monthly Payment ($)]]&gt;50, "Unusual","OK")</f>
        <v>OK</v>
      </c>
    </row>
    <row r="173" spans="1:11" x14ac:dyDescent="0.35">
      <c r="A173" s="8" t="s">
        <v>181</v>
      </c>
      <c r="B173" t="s">
        <v>388</v>
      </c>
      <c r="C173" s="8" t="s">
        <v>392</v>
      </c>
      <c r="D173" s="8" t="s">
        <v>397</v>
      </c>
      <c r="E173" s="8" t="s">
        <v>401</v>
      </c>
      <c r="F173" s="10" t="s">
        <v>406</v>
      </c>
      <c r="G173" s="12">
        <v>0</v>
      </c>
      <c r="H173" s="16">
        <v>10</v>
      </c>
      <c r="I173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73" t="str">
        <f>IF(COUNTIF(Table2[Student ID],Table2[[#This Row],[Student ID]])&gt;1,"Duplicate","OK")</f>
        <v>OK</v>
      </c>
      <c r="K173" t="str">
        <f>IF(Table2[[#This Row],[Monthly Payment ($)]]&gt;50, "Unusual","OK")</f>
        <v>OK</v>
      </c>
    </row>
    <row r="174" spans="1:11" x14ac:dyDescent="0.35">
      <c r="A174" s="8" t="s">
        <v>182</v>
      </c>
      <c r="B174" t="s">
        <v>385</v>
      </c>
      <c r="C174" s="8" t="s">
        <v>394</v>
      </c>
      <c r="D174" s="8" t="s">
        <v>395</v>
      </c>
      <c r="E174" s="8" t="s">
        <v>398</v>
      </c>
      <c r="F174" s="10" t="s">
        <v>404</v>
      </c>
      <c r="G174" s="12">
        <v>20</v>
      </c>
      <c r="H174" s="16">
        <v>0</v>
      </c>
      <c r="I174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74" t="str">
        <f>IF(COUNTIF(Table2[Student ID],Table2[[#This Row],[Student ID]])&gt;1,"Duplicate","OK")</f>
        <v>OK</v>
      </c>
      <c r="K174" t="str">
        <f>IF(Table2[[#This Row],[Monthly Payment ($)]]&gt;50, "Unusual","OK")</f>
        <v>OK</v>
      </c>
    </row>
    <row r="175" spans="1:11" x14ac:dyDescent="0.35">
      <c r="A175" s="8" t="s">
        <v>183</v>
      </c>
      <c r="B175" t="s">
        <v>388</v>
      </c>
      <c r="C175" s="8" t="s">
        <v>392</v>
      </c>
      <c r="D175" s="8" t="s">
        <v>397</v>
      </c>
      <c r="E175" s="8" t="s">
        <v>400</v>
      </c>
      <c r="F175" s="10" t="s">
        <v>406</v>
      </c>
      <c r="G175" s="12">
        <v>0</v>
      </c>
      <c r="H175" s="16">
        <v>7</v>
      </c>
      <c r="I175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75" t="str">
        <f>IF(COUNTIF(Table2[Student ID],Table2[[#This Row],[Student ID]])&gt;1,"Duplicate","OK")</f>
        <v>OK</v>
      </c>
      <c r="K175" t="str">
        <f>IF(Table2[[#This Row],[Monthly Payment ($)]]&gt;50, "Unusual","OK")</f>
        <v>OK</v>
      </c>
    </row>
    <row r="176" spans="1:11" x14ac:dyDescent="0.35">
      <c r="A176" s="8" t="s">
        <v>184</v>
      </c>
      <c r="B176" t="s">
        <v>387</v>
      </c>
      <c r="C176" s="8" t="s">
        <v>390</v>
      </c>
      <c r="D176" s="8" t="s">
        <v>396</v>
      </c>
      <c r="E176" s="8" t="s">
        <v>398</v>
      </c>
      <c r="F176" s="10" t="s">
        <v>403</v>
      </c>
      <c r="G176" s="12">
        <v>50</v>
      </c>
      <c r="H176" s="16">
        <v>19</v>
      </c>
      <c r="I176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76" t="str">
        <f>IF(COUNTIF(Table2[Student ID],Table2[[#This Row],[Student ID]])&gt;1,"Duplicate","OK")</f>
        <v>OK</v>
      </c>
      <c r="K176" t="str">
        <f>IF(Table2[[#This Row],[Monthly Payment ($)]]&gt;50, "Unusual","OK")</f>
        <v>OK</v>
      </c>
    </row>
    <row r="177" spans="1:11" x14ac:dyDescent="0.35">
      <c r="A177" s="8" t="s">
        <v>185</v>
      </c>
      <c r="B177" t="s">
        <v>388</v>
      </c>
      <c r="C177" s="8" t="s">
        <v>390</v>
      </c>
      <c r="D177" s="8" t="s">
        <v>397</v>
      </c>
      <c r="E177" s="8" t="s">
        <v>401</v>
      </c>
      <c r="F177" s="10" t="s">
        <v>406</v>
      </c>
      <c r="G177" s="12">
        <v>0</v>
      </c>
      <c r="H177" s="16">
        <v>5</v>
      </c>
      <c r="I177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77" t="str">
        <f>IF(COUNTIF(Table2[Student ID],Table2[[#This Row],[Student ID]])&gt;1,"Duplicate","OK")</f>
        <v>OK</v>
      </c>
      <c r="K177" t="str">
        <f>IF(Table2[[#This Row],[Monthly Payment ($)]]&gt;50, "Unusual","OK")</f>
        <v>OK</v>
      </c>
    </row>
    <row r="178" spans="1:11" x14ac:dyDescent="0.35">
      <c r="A178" s="8" t="s">
        <v>186</v>
      </c>
      <c r="B178" t="s">
        <v>386</v>
      </c>
      <c r="C178" s="8" t="s">
        <v>390</v>
      </c>
      <c r="D178" s="8" t="s">
        <v>396</v>
      </c>
      <c r="E178" s="8" t="s">
        <v>399</v>
      </c>
      <c r="F178" s="10" t="s">
        <v>406</v>
      </c>
      <c r="G178" s="12">
        <v>50</v>
      </c>
      <c r="H178" s="16">
        <v>20</v>
      </c>
      <c r="I178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78" t="str">
        <f>IF(COUNTIF(Table2[Student ID],Table2[[#This Row],[Student ID]])&gt;1,"Duplicate","OK")</f>
        <v>OK</v>
      </c>
      <c r="K178" t="str">
        <f>IF(Table2[[#This Row],[Monthly Payment ($)]]&gt;50, "Unusual","OK")</f>
        <v>OK</v>
      </c>
    </row>
    <row r="179" spans="1:11" x14ac:dyDescent="0.35">
      <c r="A179" s="8" t="s">
        <v>187</v>
      </c>
      <c r="B179" t="s">
        <v>389</v>
      </c>
      <c r="C179" s="8" t="s">
        <v>393</v>
      </c>
      <c r="D179" s="8" t="s">
        <v>396</v>
      </c>
      <c r="E179" s="8" t="s">
        <v>399</v>
      </c>
      <c r="F179" s="10" t="s">
        <v>404</v>
      </c>
      <c r="G179" s="12">
        <v>50</v>
      </c>
      <c r="H179" s="16">
        <v>2</v>
      </c>
      <c r="I179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79" t="str">
        <f>IF(COUNTIF(Table2[Student ID],Table2[[#This Row],[Student ID]])&gt;1,"Duplicate","OK")</f>
        <v>OK</v>
      </c>
      <c r="K179" t="str">
        <f>IF(Table2[[#This Row],[Monthly Payment ($)]]&gt;50, "Unusual","OK")</f>
        <v>OK</v>
      </c>
    </row>
    <row r="180" spans="1:11" x14ac:dyDescent="0.35">
      <c r="A180" s="8" t="s">
        <v>188</v>
      </c>
      <c r="B180" t="s">
        <v>385</v>
      </c>
      <c r="C180" s="8" t="s">
        <v>393</v>
      </c>
      <c r="D180" s="8" t="s">
        <v>397</v>
      </c>
      <c r="E180" s="8" t="s">
        <v>401</v>
      </c>
      <c r="F180" s="10" t="s">
        <v>406</v>
      </c>
      <c r="G180" s="12">
        <v>0</v>
      </c>
      <c r="H180" s="16">
        <v>6</v>
      </c>
      <c r="I180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80" t="str">
        <f>IF(COUNTIF(Table2[Student ID],Table2[[#This Row],[Student ID]])&gt;1,"Duplicate","OK")</f>
        <v>OK</v>
      </c>
      <c r="K180" t="str">
        <f>IF(Table2[[#This Row],[Monthly Payment ($)]]&gt;50, "Unusual","OK")</f>
        <v>OK</v>
      </c>
    </row>
    <row r="181" spans="1:11" x14ac:dyDescent="0.35">
      <c r="A181" s="8" t="s">
        <v>189</v>
      </c>
      <c r="B181" t="s">
        <v>386</v>
      </c>
      <c r="C181" s="8" t="s">
        <v>394</v>
      </c>
      <c r="D181" s="8" t="s">
        <v>395</v>
      </c>
      <c r="E181" s="8" t="s">
        <v>400</v>
      </c>
      <c r="F181" s="10" t="s">
        <v>405</v>
      </c>
      <c r="G181" s="12">
        <v>20</v>
      </c>
      <c r="H181" s="16">
        <v>1</v>
      </c>
      <c r="I181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81" t="str">
        <f>IF(COUNTIF(Table2[Student ID],Table2[[#This Row],[Student ID]])&gt;1,"Duplicate","OK")</f>
        <v>OK</v>
      </c>
      <c r="K181" t="str">
        <f>IF(Table2[[#This Row],[Monthly Payment ($)]]&gt;50, "Unusual","OK")</f>
        <v>OK</v>
      </c>
    </row>
    <row r="182" spans="1:11" x14ac:dyDescent="0.35">
      <c r="A182" s="8" t="s">
        <v>190</v>
      </c>
      <c r="B182" t="s">
        <v>387</v>
      </c>
      <c r="C182" s="8" t="s">
        <v>392</v>
      </c>
      <c r="D182" s="8" t="s">
        <v>396</v>
      </c>
      <c r="E182" s="8" t="s">
        <v>401</v>
      </c>
      <c r="F182" s="10" t="s">
        <v>405</v>
      </c>
      <c r="G182" s="12">
        <v>50</v>
      </c>
      <c r="H182" s="16">
        <v>0</v>
      </c>
      <c r="I182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82" t="str">
        <f>IF(COUNTIF(Table2[Student ID],Table2[[#This Row],[Student ID]])&gt;1,"Duplicate","OK")</f>
        <v>OK</v>
      </c>
      <c r="K182" t="str">
        <f>IF(Table2[[#This Row],[Monthly Payment ($)]]&gt;50, "Unusual","OK")</f>
        <v>OK</v>
      </c>
    </row>
    <row r="183" spans="1:11" x14ac:dyDescent="0.35">
      <c r="A183" s="8" t="s">
        <v>191</v>
      </c>
      <c r="B183" t="s">
        <v>389</v>
      </c>
      <c r="C183" s="8" t="s">
        <v>392</v>
      </c>
      <c r="D183" s="8" t="s">
        <v>395</v>
      </c>
      <c r="E183" s="8" t="s">
        <v>401</v>
      </c>
      <c r="F183" s="10" t="s">
        <v>402</v>
      </c>
      <c r="G183" s="12">
        <v>20</v>
      </c>
      <c r="H183" s="16">
        <v>15</v>
      </c>
      <c r="I183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83" t="str">
        <f>IF(COUNTIF(Table2[Student ID],Table2[[#This Row],[Student ID]])&gt;1,"Duplicate","OK")</f>
        <v>OK</v>
      </c>
      <c r="K183" t="str">
        <f>IF(Table2[[#This Row],[Monthly Payment ($)]]&gt;50, "Unusual","OK")</f>
        <v>OK</v>
      </c>
    </row>
    <row r="184" spans="1:11" x14ac:dyDescent="0.35">
      <c r="A184" s="8" t="s">
        <v>192</v>
      </c>
      <c r="B184" t="s">
        <v>389</v>
      </c>
      <c r="C184" s="8" t="s">
        <v>390</v>
      </c>
      <c r="D184" s="8" t="s">
        <v>396</v>
      </c>
      <c r="E184" s="8" t="s">
        <v>398</v>
      </c>
      <c r="F184" s="10" t="s">
        <v>405</v>
      </c>
      <c r="G184" s="12">
        <v>50</v>
      </c>
      <c r="H184" s="16">
        <v>0</v>
      </c>
      <c r="I184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84" t="str">
        <f>IF(COUNTIF(Table2[Student ID],Table2[[#This Row],[Student ID]])&gt;1,"Duplicate","OK")</f>
        <v>OK</v>
      </c>
      <c r="K184" t="str">
        <f>IF(Table2[[#This Row],[Monthly Payment ($)]]&gt;50, "Unusual","OK")</f>
        <v>OK</v>
      </c>
    </row>
    <row r="185" spans="1:11" x14ac:dyDescent="0.35">
      <c r="A185" s="8" t="s">
        <v>193</v>
      </c>
      <c r="B185" t="s">
        <v>389</v>
      </c>
      <c r="C185" s="8" t="s">
        <v>394</v>
      </c>
      <c r="D185" s="8" t="s">
        <v>397</v>
      </c>
      <c r="E185" s="8" t="s">
        <v>398</v>
      </c>
      <c r="F185" s="10" t="s">
        <v>406</v>
      </c>
      <c r="G185" s="12">
        <v>0</v>
      </c>
      <c r="H185" s="16">
        <v>12</v>
      </c>
      <c r="I185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85" t="str">
        <f>IF(COUNTIF(Table2[Student ID],Table2[[#This Row],[Student ID]])&gt;1,"Duplicate","OK")</f>
        <v>OK</v>
      </c>
      <c r="K185" t="str">
        <f>IF(Table2[[#This Row],[Monthly Payment ($)]]&gt;50, "Unusual","OK")</f>
        <v>OK</v>
      </c>
    </row>
    <row r="186" spans="1:11" x14ac:dyDescent="0.35">
      <c r="A186" s="8" t="s">
        <v>194</v>
      </c>
      <c r="B186" t="s">
        <v>386</v>
      </c>
      <c r="C186" s="8" t="s">
        <v>391</v>
      </c>
      <c r="D186" s="8" t="s">
        <v>395</v>
      </c>
      <c r="E186" s="8" t="s">
        <v>401</v>
      </c>
      <c r="F186" s="10" t="s">
        <v>403</v>
      </c>
      <c r="G186" s="12">
        <v>20</v>
      </c>
      <c r="H186" s="16">
        <v>2</v>
      </c>
      <c r="I186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86" t="str">
        <f>IF(COUNTIF(Table2[Student ID],Table2[[#This Row],[Student ID]])&gt;1,"Duplicate","OK")</f>
        <v>OK</v>
      </c>
      <c r="K186" t="str">
        <f>IF(Table2[[#This Row],[Monthly Payment ($)]]&gt;50, "Unusual","OK")</f>
        <v>OK</v>
      </c>
    </row>
    <row r="187" spans="1:11" x14ac:dyDescent="0.35">
      <c r="A187" s="8" t="s">
        <v>195</v>
      </c>
      <c r="B187" t="s">
        <v>388</v>
      </c>
      <c r="C187" s="8" t="s">
        <v>392</v>
      </c>
      <c r="D187" s="8" t="s">
        <v>396</v>
      </c>
      <c r="E187" s="8" t="s">
        <v>399</v>
      </c>
      <c r="F187" s="10" t="s">
        <v>406</v>
      </c>
      <c r="G187" s="12">
        <v>50</v>
      </c>
      <c r="H187" s="16">
        <v>20</v>
      </c>
      <c r="I187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87" t="str">
        <f>IF(COUNTIF(Table2[Student ID],Table2[[#This Row],[Student ID]])&gt;1,"Duplicate","OK")</f>
        <v>OK</v>
      </c>
      <c r="K187" t="str">
        <f>IF(Table2[[#This Row],[Monthly Payment ($)]]&gt;50, "Unusual","OK")</f>
        <v>OK</v>
      </c>
    </row>
    <row r="188" spans="1:11" x14ac:dyDescent="0.35">
      <c r="A188" s="8" t="s">
        <v>196</v>
      </c>
      <c r="B188" t="s">
        <v>387</v>
      </c>
      <c r="C188" s="8" t="s">
        <v>391</v>
      </c>
      <c r="D188" s="8" t="s">
        <v>397</v>
      </c>
      <c r="E188" s="8" t="s">
        <v>398</v>
      </c>
      <c r="F188" s="10" t="s">
        <v>404</v>
      </c>
      <c r="G188" s="12">
        <v>0</v>
      </c>
      <c r="H188" s="16">
        <v>20</v>
      </c>
      <c r="I188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88" t="str">
        <f>IF(COUNTIF(Table2[Student ID],Table2[[#This Row],[Student ID]])&gt;1,"Duplicate","OK")</f>
        <v>OK</v>
      </c>
      <c r="K188" t="str">
        <f>IF(Table2[[#This Row],[Monthly Payment ($)]]&gt;50, "Unusual","OK")</f>
        <v>OK</v>
      </c>
    </row>
    <row r="189" spans="1:11" x14ac:dyDescent="0.35">
      <c r="A189" s="8" t="s">
        <v>197</v>
      </c>
      <c r="B189" t="s">
        <v>389</v>
      </c>
      <c r="C189" s="8" t="s">
        <v>392</v>
      </c>
      <c r="D189" s="8" t="s">
        <v>396</v>
      </c>
      <c r="E189" s="8" t="s">
        <v>398</v>
      </c>
      <c r="F189" s="10" t="s">
        <v>403</v>
      </c>
      <c r="G189" s="12">
        <v>50</v>
      </c>
      <c r="H189" s="16">
        <v>5</v>
      </c>
      <c r="I189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89" t="str">
        <f>IF(COUNTIF(Table2[Student ID],Table2[[#This Row],[Student ID]])&gt;1,"Duplicate","OK")</f>
        <v>OK</v>
      </c>
      <c r="K189" t="str">
        <f>IF(Table2[[#This Row],[Monthly Payment ($)]]&gt;50, "Unusual","OK")</f>
        <v>OK</v>
      </c>
    </row>
    <row r="190" spans="1:11" x14ac:dyDescent="0.35">
      <c r="A190" s="8" t="s">
        <v>198</v>
      </c>
      <c r="B190" t="s">
        <v>387</v>
      </c>
      <c r="C190" s="8" t="s">
        <v>394</v>
      </c>
      <c r="D190" s="8" t="s">
        <v>395</v>
      </c>
      <c r="E190" s="8" t="s">
        <v>399</v>
      </c>
      <c r="F190" s="10" t="s">
        <v>405</v>
      </c>
      <c r="G190" s="12">
        <v>20</v>
      </c>
      <c r="H190" s="16">
        <v>11</v>
      </c>
      <c r="I190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90" t="str">
        <f>IF(COUNTIF(Table2[Student ID],Table2[[#This Row],[Student ID]])&gt;1,"Duplicate","OK")</f>
        <v>OK</v>
      </c>
      <c r="K190" t="str">
        <f>IF(Table2[[#This Row],[Monthly Payment ($)]]&gt;50, "Unusual","OK")</f>
        <v>OK</v>
      </c>
    </row>
    <row r="191" spans="1:11" x14ac:dyDescent="0.35">
      <c r="A191" s="8" t="s">
        <v>199</v>
      </c>
      <c r="B191" t="s">
        <v>387</v>
      </c>
      <c r="C191" s="8" t="s">
        <v>391</v>
      </c>
      <c r="D191" s="8" t="s">
        <v>397</v>
      </c>
      <c r="E191" s="8" t="s">
        <v>401</v>
      </c>
      <c r="F191" s="10" t="s">
        <v>403</v>
      </c>
      <c r="G191" s="12">
        <v>0</v>
      </c>
      <c r="H191" s="16">
        <v>2</v>
      </c>
      <c r="I191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91" t="str">
        <f>IF(COUNTIF(Table2[Student ID],Table2[[#This Row],[Student ID]])&gt;1,"Duplicate","OK")</f>
        <v>OK</v>
      </c>
      <c r="K191" t="str">
        <f>IF(Table2[[#This Row],[Monthly Payment ($)]]&gt;50, "Unusual","OK")</f>
        <v>OK</v>
      </c>
    </row>
    <row r="192" spans="1:11" x14ac:dyDescent="0.35">
      <c r="A192" s="8" t="s">
        <v>200</v>
      </c>
      <c r="B192" t="s">
        <v>389</v>
      </c>
      <c r="C192" s="8" t="s">
        <v>391</v>
      </c>
      <c r="D192" s="8" t="s">
        <v>397</v>
      </c>
      <c r="E192" s="8" t="s">
        <v>398</v>
      </c>
      <c r="F192" s="10" t="s">
        <v>405</v>
      </c>
      <c r="G192" s="12">
        <v>0</v>
      </c>
      <c r="H192" s="16">
        <v>8</v>
      </c>
      <c r="I192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92" t="str">
        <f>IF(COUNTIF(Table2[Student ID],Table2[[#This Row],[Student ID]])&gt;1,"Duplicate","OK")</f>
        <v>OK</v>
      </c>
      <c r="K192" t="str">
        <f>IF(Table2[[#This Row],[Monthly Payment ($)]]&gt;50, "Unusual","OK")</f>
        <v>OK</v>
      </c>
    </row>
    <row r="193" spans="1:11" x14ac:dyDescent="0.35">
      <c r="A193" s="8" t="s">
        <v>201</v>
      </c>
      <c r="B193" t="s">
        <v>385</v>
      </c>
      <c r="C193" s="8" t="s">
        <v>391</v>
      </c>
      <c r="D193" s="8" t="s">
        <v>395</v>
      </c>
      <c r="E193" s="8" t="s">
        <v>400</v>
      </c>
      <c r="F193" s="10" t="s">
        <v>405</v>
      </c>
      <c r="G193" s="12">
        <v>20</v>
      </c>
      <c r="H193" s="16">
        <v>12</v>
      </c>
      <c r="I193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93" t="str">
        <f>IF(COUNTIF(Table2[Student ID],Table2[[#This Row],[Student ID]])&gt;1,"Duplicate","OK")</f>
        <v>OK</v>
      </c>
      <c r="K193" t="str">
        <f>IF(Table2[[#This Row],[Monthly Payment ($)]]&gt;50, "Unusual","OK")</f>
        <v>OK</v>
      </c>
    </row>
    <row r="194" spans="1:11" x14ac:dyDescent="0.35">
      <c r="A194" s="8" t="s">
        <v>202</v>
      </c>
      <c r="B194" t="s">
        <v>387</v>
      </c>
      <c r="C194" s="8" t="s">
        <v>393</v>
      </c>
      <c r="D194" s="8" t="s">
        <v>395</v>
      </c>
      <c r="E194" s="8" t="s">
        <v>401</v>
      </c>
      <c r="F194" s="10" t="s">
        <v>406</v>
      </c>
      <c r="G194" s="12">
        <v>20</v>
      </c>
      <c r="H194" s="16">
        <v>14</v>
      </c>
      <c r="I194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94" t="str">
        <f>IF(COUNTIF(Table2[Student ID],Table2[[#This Row],[Student ID]])&gt;1,"Duplicate","OK")</f>
        <v>OK</v>
      </c>
      <c r="K194" t="str">
        <f>IF(Table2[[#This Row],[Monthly Payment ($)]]&gt;50, "Unusual","OK")</f>
        <v>OK</v>
      </c>
    </row>
    <row r="195" spans="1:11" x14ac:dyDescent="0.35">
      <c r="A195" s="8" t="s">
        <v>203</v>
      </c>
      <c r="B195" t="s">
        <v>389</v>
      </c>
      <c r="C195" s="8" t="s">
        <v>391</v>
      </c>
      <c r="D195" s="8" t="s">
        <v>397</v>
      </c>
      <c r="E195" s="8" t="s">
        <v>398</v>
      </c>
      <c r="F195" s="10" t="s">
        <v>405</v>
      </c>
      <c r="G195" s="12">
        <v>0</v>
      </c>
      <c r="H195" s="16">
        <v>8</v>
      </c>
      <c r="I195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95" t="str">
        <f>IF(COUNTIF(Table2[Student ID],Table2[[#This Row],[Student ID]])&gt;1,"Duplicate","OK")</f>
        <v>OK</v>
      </c>
      <c r="K195" t="str">
        <f>IF(Table2[[#This Row],[Monthly Payment ($)]]&gt;50, "Unusual","OK")</f>
        <v>OK</v>
      </c>
    </row>
    <row r="196" spans="1:11" x14ac:dyDescent="0.35">
      <c r="A196" s="8" t="s">
        <v>204</v>
      </c>
      <c r="B196" t="s">
        <v>387</v>
      </c>
      <c r="C196" s="8" t="s">
        <v>391</v>
      </c>
      <c r="D196" s="8" t="s">
        <v>395</v>
      </c>
      <c r="E196" s="8" t="s">
        <v>401</v>
      </c>
      <c r="F196" s="10" t="s">
        <v>406</v>
      </c>
      <c r="G196" s="12">
        <v>20</v>
      </c>
      <c r="H196" s="16">
        <v>20</v>
      </c>
      <c r="I196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96" t="str">
        <f>IF(COUNTIF(Table2[Student ID],Table2[[#This Row],[Student ID]])&gt;1,"Duplicate","OK")</f>
        <v>OK</v>
      </c>
      <c r="K196" t="str">
        <f>IF(Table2[[#This Row],[Monthly Payment ($)]]&gt;50, "Unusual","OK")</f>
        <v>OK</v>
      </c>
    </row>
    <row r="197" spans="1:11" x14ac:dyDescent="0.35">
      <c r="A197" s="8" t="s">
        <v>205</v>
      </c>
      <c r="B197" t="s">
        <v>387</v>
      </c>
      <c r="C197" s="8" t="s">
        <v>394</v>
      </c>
      <c r="D197" s="8" t="s">
        <v>395</v>
      </c>
      <c r="E197" s="8" t="s">
        <v>399</v>
      </c>
      <c r="F197" s="10" t="s">
        <v>405</v>
      </c>
      <c r="G197" s="12">
        <v>20</v>
      </c>
      <c r="H197" s="16">
        <v>5</v>
      </c>
      <c r="I197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97" t="str">
        <f>IF(COUNTIF(Table2[Student ID],Table2[[#This Row],[Student ID]])&gt;1,"Duplicate","OK")</f>
        <v>OK</v>
      </c>
      <c r="K197" t="str">
        <f>IF(Table2[[#This Row],[Monthly Payment ($)]]&gt;50, "Unusual","OK")</f>
        <v>OK</v>
      </c>
    </row>
    <row r="198" spans="1:11" x14ac:dyDescent="0.35">
      <c r="A198" s="8" t="s">
        <v>206</v>
      </c>
      <c r="B198" t="s">
        <v>387</v>
      </c>
      <c r="C198" s="8" t="s">
        <v>392</v>
      </c>
      <c r="D198" s="8" t="s">
        <v>395</v>
      </c>
      <c r="E198" s="8" t="s">
        <v>399</v>
      </c>
      <c r="F198" s="10" t="s">
        <v>404</v>
      </c>
      <c r="G198" s="12">
        <v>20</v>
      </c>
      <c r="H198" s="16">
        <v>4</v>
      </c>
      <c r="I198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98" t="str">
        <f>IF(COUNTIF(Table2[Student ID],Table2[[#This Row],[Student ID]])&gt;1,"Duplicate","OK")</f>
        <v>OK</v>
      </c>
      <c r="K198" t="str">
        <f>IF(Table2[[#This Row],[Monthly Payment ($)]]&gt;50, "Unusual","OK")</f>
        <v>OK</v>
      </c>
    </row>
    <row r="199" spans="1:11" x14ac:dyDescent="0.35">
      <c r="A199" s="8" t="s">
        <v>207</v>
      </c>
      <c r="B199" t="s">
        <v>387</v>
      </c>
      <c r="C199" s="8" t="s">
        <v>391</v>
      </c>
      <c r="D199" s="8" t="s">
        <v>395</v>
      </c>
      <c r="E199" s="8" t="s">
        <v>400</v>
      </c>
      <c r="F199" s="10" t="s">
        <v>406</v>
      </c>
      <c r="G199" s="12">
        <v>20</v>
      </c>
      <c r="H199" s="16">
        <v>19</v>
      </c>
      <c r="I199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199" t="str">
        <f>IF(COUNTIF(Table2[Student ID],Table2[[#This Row],[Student ID]])&gt;1,"Duplicate","OK")</f>
        <v>OK</v>
      </c>
      <c r="K199" t="str">
        <f>IF(Table2[[#This Row],[Monthly Payment ($)]]&gt;50, "Unusual","OK")</f>
        <v>OK</v>
      </c>
    </row>
    <row r="200" spans="1:11" x14ac:dyDescent="0.35">
      <c r="A200" s="8" t="s">
        <v>208</v>
      </c>
      <c r="B200" t="s">
        <v>386</v>
      </c>
      <c r="C200" s="8" t="s">
        <v>391</v>
      </c>
      <c r="D200" s="8" t="s">
        <v>397</v>
      </c>
      <c r="E200" s="8" t="s">
        <v>399</v>
      </c>
      <c r="F200" s="10" t="s">
        <v>403</v>
      </c>
      <c r="G200" s="12">
        <v>0</v>
      </c>
      <c r="H200" s="16">
        <v>1</v>
      </c>
      <c r="I200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00" t="str">
        <f>IF(COUNTIF(Table2[Student ID],Table2[[#This Row],[Student ID]])&gt;1,"Duplicate","OK")</f>
        <v>OK</v>
      </c>
      <c r="K200" t="str">
        <f>IF(Table2[[#This Row],[Monthly Payment ($)]]&gt;50, "Unusual","OK")</f>
        <v>OK</v>
      </c>
    </row>
    <row r="201" spans="1:11" x14ac:dyDescent="0.35">
      <c r="A201" s="8" t="s">
        <v>209</v>
      </c>
      <c r="B201" t="s">
        <v>387</v>
      </c>
      <c r="C201" s="8" t="s">
        <v>393</v>
      </c>
      <c r="D201" s="8" t="s">
        <v>396</v>
      </c>
      <c r="E201" s="8" t="s">
        <v>400</v>
      </c>
      <c r="F201" s="10" t="s">
        <v>403</v>
      </c>
      <c r="G201" s="12">
        <v>50</v>
      </c>
      <c r="H201" s="16">
        <v>0</v>
      </c>
      <c r="I201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01" t="str">
        <f>IF(COUNTIF(Table2[Student ID],Table2[[#This Row],[Student ID]])&gt;1,"Duplicate","OK")</f>
        <v>OK</v>
      </c>
      <c r="K201" t="str">
        <f>IF(Table2[[#This Row],[Monthly Payment ($)]]&gt;50, "Unusual","OK")</f>
        <v>OK</v>
      </c>
    </row>
    <row r="202" spans="1:11" x14ac:dyDescent="0.35">
      <c r="A202" s="8" t="s">
        <v>210</v>
      </c>
      <c r="B202" t="s">
        <v>389</v>
      </c>
      <c r="C202" s="8" t="s">
        <v>394</v>
      </c>
      <c r="D202" s="8" t="s">
        <v>395</v>
      </c>
      <c r="E202" s="8" t="s">
        <v>399</v>
      </c>
      <c r="F202" s="10" t="s">
        <v>406</v>
      </c>
      <c r="G202" s="12">
        <v>20</v>
      </c>
      <c r="H202" s="16">
        <v>8</v>
      </c>
      <c r="I202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02" t="str">
        <f>IF(COUNTIF(Table2[Student ID],Table2[[#This Row],[Student ID]])&gt;1,"Duplicate","OK")</f>
        <v>OK</v>
      </c>
      <c r="K202" t="str">
        <f>IF(Table2[[#This Row],[Monthly Payment ($)]]&gt;50, "Unusual","OK")</f>
        <v>OK</v>
      </c>
    </row>
    <row r="203" spans="1:11" x14ac:dyDescent="0.35">
      <c r="A203" s="8" t="s">
        <v>211</v>
      </c>
      <c r="B203" t="s">
        <v>385</v>
      </c>
      <c r="C203" s="8" t="s">
        <v>390</v>
      </c>
      <c r="D203" s="8" t="s">
        <v>395</v>
      </c>
      <c r="E203" s="8" t="s">
        <v>401</v>
      </c>
      <c r="F203" s="10" t="s">
        <v>403</v>
      </c>
      <c r="G203" s="12">
        <v>20</v>
      </c>
      <c r="H203" s="16">
        <v>17</v>
      </c>
      <c r="I203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03" t="str">
        <f>IF(COUNTIF(Table2[Student ID],Table2[[#This Row],[Student ID]])&gt;1,"Duplicate","OK")</f>
        <v>OK</v>
      </c>
      <c r="K203" t="str">
        <f>IF(Table2[[#This Row],[Monthly Payment ($)]]&gt;50, "Unusual","OK")</f>
        <v>OK</v>
      </c>
    </row>
    <row r="204" spans="1:11" x14ac:dyDescent="0.35">
      <c r="A204" s="8" t="s">
        <v>212</v>
      </c>
      <c r="B204" t="s">
        <v>389</v>
      </c>
      <c r="C204" s="8" t="s">
        <v>392</v>
      </c>
      <c r="D204" s="8" t="s">
        <v>396</v>
      </c>
      <c r="E204" s="8" t="s">
        <v>399</v>
      </c>
      <c r="F204" s="10" t="s">
        <v>402</v>
      </c>
      <c r="G204" s="12">
        <v>50</v>
      </c>
      <c r="H204" s="16">
        <v>0</v>
      </c>
      <c r="I204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04" t="str">
        <f>IF(COUNTIF(Table2[Student ID],Table2[[#This Row],[Student ID]])&gt;1,"Duplicate","OK")</f>
        <v>OK</v>
      </c>
      <c r="K204" t="str">
        <f>IF(Table2[[#This Row],[Monthly Payment ($)]]&gt;50, "Unusual","OK")</f>
        <v>OK</v>
      </c>
    </row>
    <row r="205" spans="1:11" x14ac:dyDescent="0.35">
      <c r="A205" s="8" t="s">
        <v>213</v>
      </c>
      <c r="B205" t="s">
        <v>385</v>
      </c>
      <c r="C205" s="8" t="s">
        <v>394</v>
      </c>
      <c r="D205" s="8" t="s">
        <v>395</v>
      </c>
      <c r="E205" s="8" t="s">
        <v>398</v>
      </c>
      <c r="F205" s="10" t="s">
        <v>405</v>
      </c>
      <c r="G205" s="12">
        <v>20</v>
      </c>
      <c r="H205" s="16">
        <v>17</v>
      </c>
      <c r="I205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05" t="str">
        <f>IF(COUNTIF(Table2[Student ID],Table2[[#This Row],[Student ID]])&gt;1,"Duplicate","OK")</f>
        <v>OK</v>
      </c>
      <c r="K205" t="str">
        <f>IF(Table2[[#This Row],[Monthly Payment ($)]]&gt;50, "Unusual","OK")</f>
        <v>OK</v>
      </c>
    </row>
    <row r="206" spans="1:11" x14ac:dyDescent="0.35">
      <c r="A206" s="8" t="s">
        <v>214</v>
      </c>
      <c r="B206" t="s">
        <v>388</v>
      </c>
      <c r="C206" s="8" t="s">
        <v>391</v>
      </c>
      <c r="D206" s="8" t="s">
        <v>397</v>
      </c>
      <c r="E206" s="8" t="s">
        <v>399</v>
      </c>
      <c r="F206" s="10" t="s">
        <v>406</v>
      </c>
      <c r="G206" s="12">
        <v>0</v>
      </c>
      <c r="H206" s="16">
        <v>12</v>
      </c>
      <c r="I206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06" t="str">
        <f>IF(COUNTIF(Table2[Student ID],Table2[[#This Row],[Student ID]])&gt;1,"Duplicate","OK")</f>
        <v>OK</v>
      </c>
      <c r="K206" t="str">
        <f>IF(Table2[[#This Row],[Monthly Payment ($)]]&gt;50, "Unusual","OK")</f>
        <v>OK</v>
      </c>
    </row>
    <row r="207" spans="1:11" x14ac:dyDescent="0.35">
      <c r="A207" s="8" t="s">
        <v>215</v>
      </c>
      <c r="B207" t="s">
        <v>387</v>
      </c>
      <c r="C207" s="8" t="s">
        <v>391</v>
      </c>
      <c r="D207" s="8" t="s">
        <v>396</v>
      </c>
      <c r="E207" s="8" t="s">
        <v>399</v>
      </c>
      <c r="F207" s="10" t="s">
        <v>404</v>
      </c>
      <c r="G207" s="12">
        <v>50</v>
      </c>
      <c r="H207" s="16">
        <v>20</v>
      </c>
      <c r="I207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07" t="str">
        <f>IF(COUNTIF(Table2[Student ID],Table2[[#This Row],[Student ID]])&gt;1,"Duplicate","OK")</f>
        <v>OK</v>
      </c>
      <c r="K207" t="str">
        <f>IF(Table2[[#This Row],[Monthly Payment ($)]]&gt;50, "Unusual","OK")</f>
        <v>OK</v>
      </c>
    </row>
    <row r="208" spans="1:11" x14ac:dyDescent="0.35">
      <c r="A208" s="8" t="s">
        <v>216</v>
      </c>
      <c r="B208" t="s">
        <v>389</v>
      </c>
      <c r="C208" s="8" t="s">
        <v>392</v>
      </c>
      <c r="D208" s="8" t="s">
        <v>395</v>
      </c>
      <c r="E208" s="8" t="s">
        <v>398</v>
      </c>
      <c r="F208" s="10" t="s">
        <v>404</v>
      </c>
      <c r="G208" s="12">
        <v>20</v>
      </c>
      <c r="H208" s="16">
        <v>17</v>
      </c>
      <c r="I208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08" t="str">
        <f>IF(COUNTIF(Table2[Student ID],Table2[[#This Row],[Student ID]])&gt;1,"Duplicate","OK")</f>
        <v>OK</v>
      </c>
      <c r="K208" t="str">
        <f>IF(Table2[[#This Row],[Monthly Payment ($)]]&gt;50, "Unusual","OK")</f>
        <v>OK</v>
      </c>
    </row>
    <row r="209" spans="1:11" x14ac:dyDescent="0.35">
      <c r="A209" s="8" t="s">
        <v>217</v>
      </c>
      <c r="B209" t="s">
        <v>387</v>
      </c>
      <c r="C209" s="8" t="s">
        <v>394</v>
      </c>
      <c r="D209" s="8" t="s">
        <v>397</v>
      </c>
      <c r="E209" s="8" t="s">
        <v>399</v>
      </c>
      <c r="F209" s="10" t="s">
        <v>406</v>
      </c>
      <c r="G209" s="12">
        <v>0</v>
      </c>
      <c r="H209" s="16">
        <v>9</v>
      </c>
      <c r="I209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09" t="str">
        <f>IF(COUNTIF(Table2[Student ID],Table2[[#This Row],[Student ID]])&gt;1,"Duplicate","OK")</f>
        <v>OK</v>
      </c>
      <c r="K209" t="str">
        <f>IF(Table2[[#This Row],[Monthly Payment ($)]]&gt;50, "Unusual","OK")</f>
        <v>OK</v>
      </c>
    </row>
    <row r="210" spans="1:11" x14ac:dyDescent="0.35">
      <c r="A210" s="8" t="s">
        <v>218</v>
      </c>
      <c r="B210" t="s">
        <v>386</v>
      </c>
      <c r="C210" s="8" t="s">
        <v>390</v>
      </c>
      <c r="D210" s="8" t="s">
        <v>397</v>
      </c>
      <c r="E210" s="8" t="s">
        <v>398</v>
      </c>
      <c r="F210" s="10" t="s">
        <v>403</v>
      </c>
      <c r="G210" s="12">
        <v>0</v>
      </c>
      <c r="H210" s="16">
        <v>19</v>
      </c>
      <c r="I210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10" t="str">
        <f>IF(COUNTIF(Table2[Student ID],Table2[[#This Row],[Student ID]])&gt;1,"Duplicate","OK")</f>
        <v>OK</v>
      </c>
      <c r="K210" t="str">
        <f>IF(Table2[[#This Row],[Monthly Payment ($)]]&gt;50, "Unusual","OK")</f>
        <v>OK</v>
      </c>
    </row>
    <row r="211" spans="1:11" x14ac:dyDescent="0.35">
      <c r="A211" s="8" t="s">
        <v>219</v>
      </c>
      <c r="B211" t="s">
        <v>386</v>
      </c>
      <c r="C211" s="8" t="s">
        <v>390</v>
      </c>
      <c r="D211" s="8" t="s">
        <v>396</v>
      </c>
      <c r="E211" s="8" t="s">
        <v>400</v>
      </c>
      <c r="F211" s="10" t="s">
        <v>405</v>
      </c>
      <c r="G211" s="12">
        <v>50</v>
      </c>
      <c r="H211" s="16">
        <v>2</v>
      </c>
      <c r="I211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11" t="str">
        <f>IF(COUNTIF(Table2[Student ID],Table2[[#This Row],[Student ID]])&gt;1,"Duplicate","OK")</f>
        <v>OK</v>
      </c>
      <c r="K211" t="str">
        <f>IF(Table2[[#This Row],[Monthly Payment ($)]]&gt;50, "Unusual","OK")</f>
        <v>OK</v>
      </c>
    </row>
    <row r="212" spans="1:11" x14ac:dyDescent="0.35">
      <c r="A212" s="8" t="s">
        <v>220</v>
      </c>
      <c r="B212" t="s">
        <v>387</v>
      </c>
      <c r="C212" s="8" t="s">
        <v>394</v>
      </c>
      <c r="D212" s="8" t="s">
        <v>396</v>
      </c>
      <c r="E212" s="8" t="s">
        <v>401</v>
      </c>
      <c r="F212" s="10" t="s">
        <v>406</v>
      </c>
      <c r="G212" s="12">
        <v>50</v>
      </c>
      <c r="H212" s="16">
        <v>4</v>
      </c>
      <c r="I212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12" t="str">
        <f>IF(COUNTIF(Table2[Student ID],Table2[[#This Row],[Student ID]])&gt;1,"Duplicate","OK")</f>
        <v>OK</v>
      </c>
      <c r="K212" t="str">
        <f>IF(Table2[[#This Row],[Monthly Payment ($)]]&gt;50, "Unusual","OK")</f>
        <v>OK</v>
      </c>
    </row>
    <row r="213" spans="1:11" x14ac:dyDescent="0.35">
      <c r="A213" s="8" t="s">
        <v>221</v>
      </c>
      <c r="B213" t="s">
        <v>387</v>
      </c>
      <c r="C213" s="8" t="s">
        <v>393</v>
      </c>
      <c r="D213" s="8" t="s">
        <v>396</v>
      </c>
      <c r="E213" s="8" t="s">
        <v>401</v>
      </c>
      <c r="F213" s="10" t="s">
        <v>404</v>
      </c>
      <c r="G213" s="12">
        <v>50</v>
      </c>
      <c r="H213" s="16">
        <v>0</v>
      </c>
      <c r="I213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13" t="str">
        <f>IF(COUNTIF(Table2[Student ID],Table2[[#This Row],[Student ID]])&gt;1,"Duplicate","OK")</f>
        <v>OK</v>
      </c>
      <c r="K213" t="str">
        <f>IF(Table2[[#This Row],[Monthly Payment ($)]]&gt;50, "Unusual","OK")</f>
        <v>OK</v>
      </c>
    </row>
    <row r="214" spans="1:11" x14ac:dyDescent="0.35">
      <c r="A214" s="8" t="s">
        <v>222</v>
      </c>
      <c r="B214" t="s">
        <v>385</v>
      </c>
      <c r="C214" s="8" t="s">
        <v>391</v>
      </c>
      <c r="D214" s="8" t="s">
        <v>396</v>
      </c>
      <c r="E214" s="8" t="s">
        <v>399</v>
      </c>
      <c r="F214" s="10" t="s">
        <v>405</v>
      </c>
      <c r="G214" s="12">
        <v>50</v>
      </c>
      <c r="H214" s="16">
        <v>13</v>
      </c>
      <c r="I214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14" t="str">
        <f>IF(COUNTIF(Table2[Student ID],Table2[[#This Row],[Student ID]])&gt;1,"Duplicate","OK")</f>
        <v>OK</v>
      </c>
      <c r="K214" t="str">
        <f>IF(Table2[[#This Row],[Monthly Payment ($)]]&gt;50, "Unusual","OK")</f>
        <v>OK</v>
      </c>
    </row>
    <row r="215" spans="1:11" x14ac:dyDescent="0.35">
      <c r="A215" s="8" t="s">
        <v>223</v>
      </c>
      <c r="B215" t="s">
        <v>388</v>
      </c>
      <c r="C215" s="8" t="s">
        <v>394</v>
      </c>
      <c r="D215" s="8" t="s">
        <v>397</v>
      </c>
      <c r="E215" s="8" t="s">
        <v>399</v>
      </c>
      <c r="F215" s="10" t="s">
        <v>402</v>
      </c>
      <c r="G215" s="12">
        <v>0</v>
      </c>
      <c r="H215" s="16">
        <v>6</v>
      </c>
      <c r="I215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15" t="str">
        <f>IF(COUNTIF(Table2[Student ID],Table2[[#This Row],[Student ID]])&gt;1,"Duplicate","OK")</f>
        <v>OK</v>
      </c>
      <c r="K215" t="str">
        <f>IF(Table2[[#This Row],[Monthly Payment ($)]]&gt;50, "Unusual","OK")</f>
        <v>OK</v>
      </c>
    </row>
    <row r="216" spans="1:11" x14ac:dyDescent="0.35">
      <c r="A216" s="8" t="s">
        <v>224</v>
      </c>
      <c r="B216" t="s">
        <v>388</v>
      </c>
      <c r="C216" s="8" t="s">
        <v>392</v>
      </c>
      <c r="D216" s="8" t="s">
        <v>395</v>
      </c>
      <c r="E216" s="8" t="s">
        <v>398</v>
      </c>
      <c r="F216" s="10" t="s">
        <v>402</v>
      </c>
      <c r="G216" s="12">
        <v>20</v>
      </c>
      <c r="H216" s="16">
        <v>13</v>
      </c>
      <c r="I216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16" t="str">
        <f>IF(COUNTIF(Table2[Student ID],Table2[[#This Row],[Student ID]])&gt;1,"Duplicate","OK")</f>
        <v>OK</v>
      </c>
      <c r="K216" t="str">
        <f>IF(Table2[[#This Row],[Monthly Payment ($)]]&gt;50, "Unusual","OK")</f>
        <v>OK</v>
      </c>
    </row>
    <row r="217" spans="1:11" x14ac:dyDescent="0.35">
      <c r="A217" s="8" t="s">
        <v>225</v>
      </c>
      <c r="B217" t="s">
        <v>388</v>
      </c>
      <c r="C217" s="8" t="s">
        <v>390</v>
      </c>
      <c r="D217" s="8" t="s">
        <v>397</v>
      </c>
      <c r="E217" s="8" t="s">
        <v>401</v>
      </c>
      <c r="F217" s="10" t="s">
        <v>406</v>
      </c>
      <c r="G217" s="12">
        <v>0</v>
      </c>
      <c r="H217" s="16">
        <v>12</v>
      </c>
      <c r="I217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17" t="str">
        <f>IF(COUNTIF(Table2[Student ID],Table2[[#This Row],[Student ID]])&gt;1,"Duplicate","OK")</f>
        <v>OK</v>
      </c>
      <c r="K217" t="str">
        <f>IF(Table2[[#This Row],[Monthly Payment ($)]]&gt;50, "Unusual","OK")</f>
        <v>OK</v>
      </c>
    </row>
    <row r="218" spans="1:11" x14ac:dyDescent="0.35">
      <c r="A218" s="8" t="s">
        <v>226</v>
      </c>
      <c r="B218" t="s">
        <v>385</v>
      </c>
      <c r="C218" s="8" t="s">
        <v>394</v>
      </c>
      <c r="D218" s="8" t="s">
        <v>396</v>
      </c>
      <c r="E218" s="8" t="s">
        <v>400</v>
      </c>
      <c r="F218" s="10" t="s">
        <v>406</v>
      </c>
      <c r="G218" s="12">
        <v>50</v>
      </c>
      <c r="H218" s="16">
        <v>9</v>
      </c>
      <c r="I218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18" t="str">
        <f>IF(COUNTIF(Table2[Student ID],Table2[[#This Row],[Student ID]])&gt;1,"Duplicate","OK")</f>
        <v>OK</v>
      </c>
      <c r="K218" t="str">
        <f>IF(Table2[[#This Row],[Monthly Payment ($)]]&gt;50, "Unusual","OK")</f>
        <v>OK</v>
      </c>
    </row>
    <row r="219" spans="1:11" x14ac:dyDescent="0.35">
      <c r="A219" s="8" t="s">
        <v>227</v>
      </c>
      <c r="B219" t="s">
        <v>386</v>
      </c>
      <c r="C219" s="8" t="s">
        <v>394</v>
      </c>
      <c r="D219" s="8" t="s">
        <v>396</v>
      </c>
      <c r="E219" s="8" t="s">
        <v>399</v>
      </c>
      <c r="F219" s="10" t="s">
        <v>405</v>
      </c>
      <c r="G219" s="12">
        <v>50</v>
      </c>
      <c r="H219" s="16">
        <v>18</v>
      </c>
      <c r="I219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19" t="str">
        <f>IF(COUNTIF(Table2[Student ID],Table2[[#This Row],[Student ID]])&gt;1,"Duplicate","OK")</f>
        <v>OK</v>
      </c>
      <c r="K219" t="str">
        <f>IF(Table2[[#This Row],[Monthly Payment ($)]]&gt;50, "Unusual","OK")</f>
        <v>OK</v>
      </c>
    </row>
    <row r="220" spans="1:11" x14ac:dyDescent="0.35">
      <c r="A220" s="8" t="s">
        <v>228</v>
      </c>
      <c r="B220" t="s">
        <v>388</v>
      </c>
      <c r="C220" s="8" t="s">
        <v>390</v>
      </c>
      <c r="D220" s="8" t="s">
        <v>395</v>
      </c>
      <c r="E220" s="8" t="s">
        <v>401</v>
      </c>
      <c r="F220" s="10" t="s">
        <v>406</v>
      </c>
      <c r="G220" s="12">
        <v>20</v>
      </c>
      <c r="H220" s="16">
        <v>9</v>
      </c>
      <c r="I220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20" t="str">
        <f>IF(COUNTIF(Table2[Student ID],Table2[[#This Row],[Student ID]])&gt;1,"Duplicate","OK")</f>
        <v>OK</v>
      </c>
      <c r="K220" t="str">
        <f>IF(Table2[[#This Row],[Monthly Payment ($)]]&gt;50, "Unusual","OK")</f>
        <v>OK</v>
      </c>
    </row>
    <row r="221" spans="1:11" x14ac:dyDescent="0.35">
      <c r="A221" s="8" t="s">
        <v>229</v>
      </c>
      <c r="B221" t="s">
        <v>387</v>
      </c>
      <c r="C221" s="8" t="s">
        <v>393</v>
      </c>
      <c r="D221" s="8" t="s">
        <v>395</v>
      </c>
      <c r="E221" s="8" t="s">
        <v>398</v>
      </c>
      <c r="F221" s="10" t="s">
        <v>403</v>
      </c>
      <c r="G221" s="12">
        <v>20</v>
      </c>
      <c r="H221" s="16">
        <v>0</v>
      </c>
      <c r="I221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21" t="str">
        <f>IF(COUNTIF(Table2[Student ID],Table2[[#This Row],[Student ID]])&gt;1,"Duplicate","OK")</f>
        <v>OK</v>
      </c>
      <c r="K221" t="str">
        <f>IF(Table2[[#This Row],[Monthly Payment ($)]]&gt;50, "Unusual","OK")</f>
        <v>OK</v>
      </c>
    </row>
    <row r="222" spans="1:11" x14ac:dyDescent="0.35">
      <c r="A222" s="8" t="s">
        <v>230</v>
      </c>
      <c r="B222" t="s">
        <v>388</v>
      </c>
      <c r="C222" s="8" t="s">
        <v>394</v>
      </c>
      <c r="D222" s="8" t="s">
        <v>397</v>
      </c>
      <c r="E222" s="8" t="s">
        <v>400</v>
      </c>
      <c r="F222" s="10" t="s">
        <v>406</v>
      </c>
      <c r="G222" s="12">
        <v>0</v>
      </c>
      <c r="H222" s="16">
        <v>6</v>
      </c>
      <c r="I222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22" t="str">
        <f>IF(COUNTIF(Table2[Student ID],Table2[[#This Row],[Student ID]])&gt;1,"Duplicate","OK")</f>
        <v>OK</v>
      </c>
      <c r="K222" t="str">
        <f>IF(Table2[[#This Row],[Monthly Payment ($)]]&gt;50, "Unusual","OK")</f>
        <v>OK</v>
      </c>
    </row>
    <row r="223" spans="1:11" x14ac:dyDescent="0.35">
      <c r="A223" s="8" t="s">
        <v>231</v>
      </c>
      <c r="B223" t="s">
        <v>389</v>
      </c>
      <c r="C223" s="8" t="s">
        <v>393</v>
      </c>
      <c r="D223" s="8" t="s">
        <v>397</v>
      </c>
      <c r="E223" s="8" t="s">
        <v>398</v>
      </c>
      <c r="F223" s="10" t="s">
        <v>405</v>
      </c>
      <c r="G223" s="12">
        <v>0</v>
      </c>
      <c r="H223" s="16">
        <v>1</v>
      </c>
      <c r="I223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23" t="str">
        <f>IF(COUNTIF(Table2[Student ID],Table2[[#This Row],[Student ID]])&gt;1,"Duplicate","OK")</f>
        <v>OK</v>
      </c>
      <c r="K223" t="str">
        <f>IF(Table2[[#This Row],[Monthly Payment ($)]]&gt;50, "Unusual","OK")</f>
        <v>OK</v>
      </c>
    </row>
    <row r="224" spans="1:11" x14ac:dyDescent="0.35">
      <c r="A224" s="8" t="s">
        <v>232</v>
      </c>
      <c r="B224" t="s">
        <v>387</v>
      </c>
      <c r="C224" s="8" t="s">
        <v>393</v>
      </c>
      <c r="D224" s="8" t="s">
        <v>395</v>
      </c>
      <c r="E224" s="8" t="s">
        <v>399</v>
      </c>
      <c r="F224" s="10" t="s">
        <v>404</v>
      </c>
      <c r="G224" s="12">
        <v>20</v>
      </c>
      <c r="H224" s="16">
        <v>6</v>
      </c>
      <c r="I224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24" t="str">
        <f>IF(COUNTIF(Table2[Student ID],Table2[[#This Row],[Student ID]])&gt;1,"Duplicate","OK")</f>
        <v>OK</v>
      </c>
      <c r="K224" t="str">
        <f>IF(Table2[[#This Row],[Monthly Payment ($)]]&gt;50, "Unusual","OK")</f>
        <v>OK</v>
      </c>
    </row>
    <row r="225" spans="1:11" x14ac:dyDescent="0.35">
      <c r="A225" s="8" t="s">
        <v>233</v>
      </c>
      <c r="B225" t="s">
        <v>386</v>
      </c>
      <c r="C225" s="8" t="s">
        <v>390</v>
      </c>
      <c r="D225" s="8" t="s">
        <v>397</v>
      </c>
      <c r="E225" s="8" t="s">
        <v>398</v>
      </c>
      <c r="F225" s="10" t="s">
        <v>403</v>
      </c>
      <c r="G225" s="12">
        <v>0</v>
      </c>
      <c r="H225" s="16">
        <v>7</v>
      </c>
      <c r="I225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25" t="str">
        <f>IF(COUNTIF(Table2[Student ID],Table2[[#This Row],[Student ID]])&gt;1,"Duplicate","OK")</f>
        <v>OK</v>
      </c>
      <c r="K225" t="str">
        <f>IF(Table2[[#This Row],[Monthly Payment ($)]]&gt;50, "Unusual","OK")</f>
        <v>OK</v>
      </c>
    </row>
    <row r="226" spans="1:11" x14ac:dyDescent="0.35">
      <c r="A226" s="8" t="s">
        <v>234</v>
      </c>
      <c r="B226" t="s">
        <v>385</v>
      </c>
      <c r="C226" s="8" t="s">
        <v>392</v>
      </c>
      <c r="D226" s="8" t="s">
        <v>395</v>
      </c>
      <c r="E226" s="8" t="s">
        <v>399</v>
      </c>
      <c r="F226" s="10" t="s">
        <v>404</v>
      </c>
      <c r="G226" s="12">
        <v>20</v>
      </c>
      <c r="H226" s="16">
        <v>5</v>
      </c>
      <c r="I226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26" t="str">
        <f>IF(COUNTIF(Table2[Student ID],Table2[[#This Row],[Student ID]])&gt;1,"Duplicate","OK")</f>
        <v>OK</v>
      </c>
      <c r="K226" t="str">
        <f>IF(Table2[[#This Row],[Monthly Payment ($)]]&gt;50, "Unusual","OK")</f>
        <v>OK</v>
      </c>
    </row>
    <row r="227" spans="1:11" x14ac:dyDescent="0.35">
      <c r="A227" s="8" t="s">
        <v>235</v>
      </c>
      <c r="B227" t="s">
        <v>385</v>
      </c>
      <c r="C227" s="8" t="s">
        <v>393</v>
      </c>
      <c r="D227" s="8" t="s">
        <v>396</v>
      </c>
      <c r="E227" s="8" t="s">
        <v>400</v>
      </c>
      <c r="F227" s="10" t="s">
        <v>404</v>
      </c>
      <c r="G227" s="12">
        <v>50</v>
      </c>
      <c r="H227" s="16">
        <v>4</v>
      </c>
      <c r="I227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27" t="str">
        <f>IF(COUNTIF(Table2[Student ID],Table2[[#This Row],[Student ID]])&gt;1,"Duplicate","OK")</f>
        <v>OK</v>
      </c>
      <c r="K227" t="str">
        <f>IF(Table2[[#This Row],[Monthly Payment ($)]]&gt;50, "Unusual","OK")</f>
        <v>OK</v>
      </c>
    </row>
    <row r="228" spans="1:11" x14ac:dyDescent="0.35">
      <c r="A228" s="8" t="s">
        <v>236</v>
      </c>
      <c r="B228" t="s">
        <v>388</v>
      </c>
      <c r="C228" s="8" t="s">
        <v>391</v>
      </c>
      <c r="D228" s="8" t="s">
        <v>396</v>
      </c>
      <c r="E228" s="8" t="s">
        <v>401</v>
      </c>
      <c r="F228" s="10" t="s">
        <v>405</v>
      </c>
      <c r="G228" s="12">
        <v>50</v>
      </c>
      <c r="H228" s="16">
        <v>19</v>
      </c>
      <c r="I228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28" t="str">
        <f>IF(COUNTIF(Table2[Student ID],Table2[[#This Row],[Student ID]])&gt;1,"Duplicate","OK")</f>
        <v>OK</v>
      </c>
      <c r="K228" t="str">
        <f>IF(Table2[[#This Row],[Monthly Payment ($)]]&gt;50, "Unusual","OK")</f>
        <v>OK</v>
      </c>
    </row>
    <row r="229" spans="1:11" x14ac:dyDescent="0.35">
      <c r="A229" s="8" t="s">
        <v>237</v>
      </c>
      <c r="B229" t="s">
        <v>385</v>
      </c>
      <c r="C229" s="8" t="s">
        <v>392</v>
      </c>
      <c r="D229" s="8" t="s">
        <v>395</v>
      </c>
      <c r="E229" s="8" t="s">
        <v>399</v>
      </c>
      <c r="F229" s="10" t="s">
        <v>405</v>
      </c>
      <c r="G229" s="12">
        <v>20</v>
      </c>
      <c r="H229" s="16">
        <v>2</v>
      </c>
      <c r="I229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29" t="str">
        <f>IF(COUNTIF(Table2[Student ID],Table2[[#This Row],[Student ID]])&gt;1,"Duplicate","OK")</f>
        <v>OK</v>
      </c>
      <c r="K229" t="str">
        <f>IF(Table2[[#This Row],[Monthly Payment ($)]]&gt;50, "Unusual","OK")</f>
        <v>OK</v>
      </c>
    </row>
    <row r="230" spans="1:11" x14ac:dyDescent="0.35">
      <c r="A230" s="8" t="s">
        <v>238</v>
      </c>
      <c r="B230" t="s">
        <v>387</v>
      </c>
      <c r="C230" s="8" t="s">
        <v>392</v>
      </c>
      <c r="D230" s="8" t="s">
        <v>396</v>
      </c>
      <c r="E230" s="8" t="s">
        <v>399</v>
      </c>
      <c r="F230" s="10" t="s">
        <v>403</v>
      </c>
      <c r="G230" s="12">
        <v>50</v>
      </c>
      <c r="H230" s="16">
        <v>19</v>
      </c>
      <c r="I230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30" t="str">
        <f>IF(COUNTIF(Table2[Student ID],Table2[[#This Row],[Student ID]])&gt;1,"Duplicate","OK")</f>
        <v>OK</v>
      </c>
      <c r="K230" t="str">
        <f>IF(Table2[[#This Row],[Monthly Payment ($)]]&gt;50, "Unusual","OK")</f>
        <v>OK</v>
      </c>
    </row>
    <row r="231" spans="1:11" x14ac:dyDescent="0.35">
      <c r="A231" s="8" t="s">
        <v>239</v>
      </c>
      <c r="B231" t="s">
        <v>389</v>
      </c>
      <c r="C231" s="8" t="s">
        <v>390</v>
      </c>
      <c r="D231" s="8" t="s">
        <v>397</v>
      </c>
      <c r="E231" s="8" t="s">
        <v>398</v>
      </c>
      <c r="F231" s="10" t="s">
        <v>405</v>
      </c>
      <c r="G231" s="12">
        <v>0</v>
      </c>
      <c r="H231" s="16">
        <v>12</v>
      </c>
      <c r="I231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31" t="str">
        <f>IF(COUNTIF(Table2[Student ID],Table2[[#This Row],[Student ID]])&gt;1,"Duplicate","OK")</f>
        <v>OK</v>
      </c>
      <c r="K231" t="str">
        <f>IF(Table2[[#This Row],[Monthly Payment ($)]]&gt;50, "Unusual","OK")</f>
        <v>OK</v>
      </c>
    </row>
    <row r="232" spans="1:11" x14ac:dyDescent="0.35">
      <c r="A232" s="8" t="s">
        <v>240</v>
      </c>
      <c r="B232" t="s">
        <v>388</v>
      </c>
      <c r="C232" s="8" t="s">
        <v>391</v>
      </c>
      <c r="D232" s="8" t="s">
        <v>395</v>
      </c>
      <c r="E232" s="8" t="s">
        <v>401</v>
      </c>
      <c r="F232" s="10" t="s">
        <v>403</v>
      </c>
      <c r="G232" s="12">
        <v>20</v>
      </c>
      <c r="H232" s="16">
        <v>2</v>
      </c>
      <c r="I232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32" t="str">
        <f>IF(COUNTIF(Table2[Student ID],Table2[[#This Row],[Student ID]])&gt;1,"Duplicate","OK")</f>
        <v>OK</v>
      </c>
      <c r="K232" t="str">
        <f>IF(Table2[[#This Row],[Monthly Payment ($)]]&gt;50, "Unusual","OK")</f>
        <v>OK</v>
      </c>
    </row>
    <row r="233" spans="1:11" x14ac:dyDescent="0.35">
      <c r="A233" s="8" t="s">
        <v>241</v>
      </c>
      <c r="B233" t="s">
        <v>385</v>
      </c>
      <c r="C233" s="8" t="s">
        <v>394</v>
      </c>
      <c r="D233" s="8" t="s">
        <v>397</v>
      </c>
      <c r="E233" s="8" t="s">
        <v>400</v>
      </c>
      <c r="F233" s="10" t="s">
        <v>406</v>
      </c>
      <c r="G233" s="12">
        <v>0</v>
      </c>
      <c r="H233" s="16">
        <v>14</v>
      </c>
      <c r="I233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33" t="str">
        <f>IF(COUNTIF(Table2[Student ID],Table2[[#This Row],[Student ID]])&gt;1,"Duplicate","OK")</f>
        <v>OK</v>
      </c>
      <c r="K233" t="str">
        <f>IF(Table2[[#This Row],[Monthly Payment ($)]]&gt;50, "Unusual","OK")</f>
        <v>OK</v>
      </c>
    </row>
    <row r="234" spans="1:11" x14ac:dyDescent="0.35">
      <c r="A234" s="8" t="s">
        <v>242</v>
      </c>
      <c r="B234" t="s">
        <v>388</v>
      </c>
      <c r="C234" s="8" t="s">
        <v>391</v>
      </c>
      <c r="D234" s="8" t="s">
        <v>397</v>
      </c>
      <c r="E234" s="8" t="s">
        <v>399</v>
      </c>
      <c r="F234" s="10" t="s">
        <v>402</v>
      </c>
      <c r="G234" s="12">
        <v>0</v>
      </c>
      <c r="H234" s="16">
        <v>13</v>
      </c>
      <c r="I234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34" t="str">
        <f>IF(COUNTIF(Table2[Student ID],Table2[[#This Row],[Student ID]])&gt;1,"Duplicate","OK")</f>
        <v>OK</v>
      </c>
      <c r="K234" t="str">
        <f>IF(Table2[[#This Row],[Monthly Payment ($)]]&gt;50, "Unusual","OK")</f>
        <v>OK</v>
      </c>
    </row>
    <row r="235" spans="1:11" x14ac:dyDescent="0.35">
      <c r="A235" s="8" t="s">
        <v>243</v>
      </c>
      <c r="B235" t="s">
        <v>385</v>
      </c>
      <c r="C235" s="8" t="s">
        <v>394</v>
      </c>
      <c r="D235" s="8" t="s">
        <v>397</v>
      </c>
      <c r="E235" s="8" t="s">
        <v>399</v>
      </c>
      <c r="F235" s="10" t="s">
        <v>402</v>
      </c>
      <c r="G235" s="12">
        <v>0</v>
      </c>
      <c r="H235" s="16">
        <v>5</v>
      </c>
      <c r="I235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35" t="str">
        <f>IF(COUNTIF(Table2[Student ID],Table2[[#This Row],[Student ID]])&gt;1,"Duplicate","OK")</f>
        <v>OK</v>
      </c>
      <c r="K235" t="str">
        <f>IF(Table2[[#This Row],[Monthly Payment ($)]]&gt;50, "Unusual","OK")</f>
        <v>OK</v>
      </c>
    </row>
    <row r="236" spans="1:11" x14ac:dyDescent="0.35">
      <c r="A236" s="8" t="s">
        <v>244</v>
      </c>
      <c r="B236" t="s">
        <v>386</v>
      </c>
      <c r="C236" s="8" t="s">
        <v>390</v>
      </c>
      <c r="D236" s="8" t="s">
        <v>396</v>
      </c>
      <c r="E236" s="8" t="s">
        <v>399</v>
      </c>
      <c r="F236" s="10" t="s">
        <v>403</v>
      </c>
      <c r="G236" s="12">
        <v>50</v>
      </c>
      <c r="H236" s="16">
        <v>20</v>
      </c>
      <c r="I236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36" t="str">
        <f>IF(COUNTIF(Table2[Student ID],Table2[[#This Row],[Student ID]])&gt;1,"Duplicate","OK")</f>
        <v>OK</v>
      </c>
      <c r="K236" t="str">
        <f>IF(Table2[[#This Row],[Monthly Payment ($)]]&gt;50, "Unusual","OK")</f>
        <v>OK</v>
      </c>
    </row>
    <row r="237" spans="1:11" x14ac:dyDescent="0.35">
      <c r="A237" s="8" t="s">
        <v>245</v>
      </c>
      <c r="B237" t="s">
        <v>389</v>
      </c>
      <c r="C237" s="8" t="s">
        <v>392</v>
      </c>
      <c r="D237" s="8" t="s">
        <v>395</v>
      </c>
      <c r="E237" s="8" t="s">
        <v>401</v>
      </c>
      <c r="F237" s="10" t="s">
        <v>402</v>
      </c>
      <c r="G237" s="12">
        <v>20</v>
      </c>
      <c r="H237" s="16">
        <v>6</v>
      </c>
      <c r="I237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37" t="str">
        <f>IF(COUNTIF(Table2[Student ID],Table2[[#This Row],[Student ID]])&gt;1,"Duplicate","OK")</f>
        <v>OK</v>
      </c>
      <c r="K237" t="str">
        <f>IF(Table2[[#This Row],[Monthly Payment ($)]]&gt;50, "Unusual","OK")</f>
        <v>OK</v>
      </c>
    </row>
    <row r="238" spans="1:11" x14ac:dyDescent="0.35">
      <c r="A238" s="8" t="s">
        <v>246</v>
      </c>
      <c r="B238" t="s">
        <v>387</v>
      </c>
      <c r="C238" s="8" t="s">
        <v>390</v>
      </c>
      <c r="D238" s="8" t="s">
        <v>397</v>
      </c>
      <c r="E238" s="8" t="s">
        <v>400</v>
      </c>
      <c r="F238" s="10" t="s">
        <v>406</v>
      </c>
      <c r="G238" s="12">
        <v>0</v>
      </c>
      <c r="H238" s="16">
        <v>10</v>
      </c>
      <c r="I238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38" t="str">
        <f>IF(COUNTIF(Table2[Student ID],Table2[[#This Row],[Student ID]])&gt;1,"Duplicate","OK")</f>
        <v>OK</v>
      </c>
      <c r="K238" t="str">
        <f>IF(Table2[[#This Row],[Monthly Payment ($)]]&gt;50, "Unusual","OK")</f>
        <v>OK</v>
      </c>
    </row>
    <row r="239" spans="1:11" x14ac:dyDescent="0.35">
      <c r="A239" s="8" t="s">
        <v>247</v>
      </c>
      <c r="B239" t="s">
        <v>387</v>
      </c>
      <c r="C239" s="8" t="s">
        <v>392</v>
      </c>
      <c r="D239" s="8" t="s">
        <v>396</v>
      </c>
      <c r="E239" s="8" t="s">
        <v>401</v>
      </c>
      <c r="F239" s="10" t="s">
        <v>406</v>
      </c>
      <c r="G239" s="12">
        <v>50</v>
      </c>
      <c r="H239" s="16">
        <v>18</v>
      </c>
      <c r="I239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39" t="str">
        <f>IF(COUNTIF(Table2[Student ID],Table2[[#This Row],[Student ID]])&gt;1,"Duplicate","OK")</f>
        <v>OK</v>
      </c>
      <c r="K239" t="str">
        <f>IF(Table2[[#This Row],[Monthly Payment ($)]]&gt;50, "Unusual","OK")</f>
        <v>OK</v>
      </c>
    </row>
    <row r="240" spans="1:11" x14ac:dyDescent="0.35">
      <c r="A240" s="8" t="s">
        <v>248</v>
      </c>
      <c r="B240" t="s">
        <v>385</v>
      </c>
      <c r="C240" s="8" t="s">
        <v>390</v>
      </c>
      <c r="D240" s="8" t="s">
        <v>396</v>
      </c>
      <c r="E240" s="8" t="s">
        <v>398</v>
      </c>
      <c r="F240" s="10" t="s">
        <v>403</v>
      </c>
      <c r="G240" s="12">
        <v>50</v>
      </c>
      <c r="H240" s="16">
        <v>13</v>
      </c>
      <c r="I240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40" t="str">
        <f>IF(COUNTIF(Table2[Student ID],Table2[[#This Row],[Student ID]])&gt;1,"Duplicate","OK")</f>
        <v>OK</v>
      </c>
      <c r="K240" t="str">
        <f>IF(Table2[[#This Row],[Monthly Payment ($)]]&gt;50, "Unusual","OK")</f>
        <v>OK</v>
      </c>
    </row>
    <row r="241" spans="1:11" x14ac:dyDescent="0.35">
      <c r="A241" s="8" t="s">
        <v>249</v>
      </c>
      <c r="B241" t="s">
        <v>385</v>
      </c>
      <c r="C241" s="8" t="s">
        <v>392</v>
      </c>
      <c r="D241" s="8" t="s">
        <v>397</v>
      </c>
      <c r="E241" s="8" t="s">
        <v>398</v>
      </c>
      <c r="F241" s="10" t="s">
        <v>402</v>
      </c>
      <c r="G241" s="12">
        <v>0</v>
      </c>
      <c r="H241" s="16">
        <v>14</v>
      </c>
      <c r="I241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41" t="str">
        <f>IF(COUNTIF(Table2[Student ID],Table2[[#This Row],[Student ID]])&gt;1,"Duplicate","OK")</f>
        <v>OK</v>
      </c>
      <c r="K241" t="str">
        <f>IF(Table2[[#This Row],[Monthly Payment ($)]]&gt;50, "Unusual","OK")</f>
        <v>OK</v>
      </c>
    </row>
    <row r="242" spans="1:11" x14ac:dyDescent="0.35">
      <c r="A242" s="8" t="s">
        <v>250</v>
      </c>
      <c r="B242" t="s">
        <v>386</v>
      </c>
      <c r="C242" s="8" t="s">
        <v>394</v>
      </c>
      <c r="D242" s="8" t="s">
        <v>395</v>
      </c>
      <c r="E242" s="8" t="s">
        <v>398</v>
      </c>
      <c r="F242" s="10" t="s">
        <v>404</v>
      </c>
      <c r="G242" s="12">
        <v>20</v>
      </c>
      <c r="H242" s="16">
        <v>14</v>
      </c>
      <c r="I242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42" t="str">
        <f>IF(COUNTIF(Table2[Student ID],Table2[[#This Row],[Student ID]])&gt;1,"Duplicate","OK")</f>
        <v>OK</v>
      </c>
      <c r="K242" t="str">
        <f>IF(Table2[[#This Row],[Monthly Payment ($)]]&gt;50, "Unusual","OK")</f>
        <v>OK</v>
      </c>
    </row>
    <row r="243" spans="1:11" x14ac:dyDescent="0.35">
      <c r="A243" s="8" t="s">
        <v>251</v>
      </c>
      <c r="B243" t="s">
        <v>387</v>
      </c>
      <c r="C243" s="8" t="s">
        <v>390</v>
      </c>
      <c r="D243" s="8" t="s">
        <v>396</v>
      </c>
      <c r="E243" s="8" t="s">
        <v>399</v>
      </c>
      <c r="F243" s="10" t="s">
        <v>403</v>
      </c>
      <c r="G243" s="12">
        <v>50</v>
      </c>
      <c r="H243" s="16">
        <v>11</v>
      </c>
      <c r="I243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43" t="str">
        <f>IF(COUNTIF(Table2[Student ID],Table2[[#This Row],[Student ID]])&gt;1,"Duplicate","OK")</f>
        <v>OK</v>
      </c>
      <c r="K243" t="str">
        <f>IF(Table2[[#This Row],[Monthly Payment ($)]]&gt;50, "Unusual","OK")</f>
        <v>OK</v>
      </c>
    </row>
    <row r="244" spans="1:11" x14ac:dyDescent="0.35">
      <c r="A244" s="8" t="s">
        <v>252</v>
      </c>
      <c r="B244" t="s">
        <v>386</v>
      </c>
      <c r="C244" s="8" t="s">
        <v>394</v>
      </c>
      <c r="D244" s="8" t="s">
        <v>397</v>
      </c>
      <c r="E244" s="8" t="s">
        <v>399</v>
      </c>
      <c r="F244" s="10" t="s">
        <v>406</v>
      </c>
      <c r="G244" s="12">
        <v>0</v>
      </c>
      <c r="H244" s="16">
        <v>16</v>
      </c>
      <c r="I244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44" t="str">
        <f>IF(COUNTIF(Table2[Student ID],Table2[[#This Row],[Student ID]])&gt;1,"Duplicate","OK")</f>
        <v>OK</v>
      </c>
      <c r="K244" t="str">
        <f>IF(Table2[[#This Row],[Monthly Payment ($)]]&gt;50, "Unusual","OK")</f>
        <v>OK</v>
      </c>
    </row>
    <row r="245" spans="1:11" x14ac:dyDescent="0.35">
      <c r="A245" s="8" t="s">
        <v>253</v>
      </c>
      <c r="B245" t="s">
        <v>387</v>
      </c>
      <c r="C245" s="8" t="s">
        <v>393</v>
      </c>
      <c r="D245" s="8" t="s">
        <v>395</v>
      </c>
      <c r="E245" s="8" t="s">
        <v>401</v>
      </c>
      <c r="F245" s="10" t="s">
        <v>406</v>
      </c>
      <c r="G245" s="12">
        <v>20</v>
      </c>
      <c r="H245" s="16">
        <v>9</v>
      </c>
      <c r="I245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45" t="str">
        <f>IF(COUNTIF(Table2[Student ID],Table2[[#This Row],[Student ID]])&gt;1,"Duplicate","OK")</f>
        <v>OK</v>
      </c>
      <c r="K245" t="str">
        <f>IF(Table2[[#This Row],[Monthly Payment ($)]]&gt;50, "Unusual","OK")</f>
        <v>OK</v>
      </c>
    </row>
    <row r="246" spans="1:11" x14ac:dyDescent="0.35">
      <c r="A246" s="8" t="s">
        <v>254</v>
      </c>
      <c r="B246" t="s">
        <v>389</v>
      </c>
      <c r="C246" s="8" t="s">
        <v>394</v>
      </c>
      <c r="D246" s="8" t="s">
        <v>397</v>
      </c>
      <c r="E246" s="8" t="s">
        <v>399</v>
      </c>
      <c r="F246" s="10" t="s">
        <v>402</v>
      </c>
      <c r="G246" s="12">
        <v>0</v>
      </c>
      <c r="H246" s="16">
        <v>1</v>
      </c>
      <c r="I246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46" t="str">
        <f>IF(COUNTIF(Table2[Student ID],Table2[[#This Row],[Student ID]])&gt;1,"Duplicate","OK")</f>
        <v>OK</v>
      </c>
      <c r="K246" t="str">
        <f>IF(Table2[[#This Row],[Monthly Payment ($)]]&gt;50, "Unusual","OK")</f>
        <v>OK</v>
      </c>
    </row>
    <row r="247" spans="1:11" x14ac:dyDescent="0.35">
      <c r="A247" s="8" t="s">
        <v>255</v>
      </c>
      <c r="B247" t="s">
        <v>389</v>
      </c>
      <c r="C247" s="8" t="s">
        <v>394</v>
      </c>
      <c r="D247" s="8" t="s">
        <v>395</v>
      </c>
      <c r="E247" s="8" t="s">
        <v>401</v>
      </c>
      <c r="F247" s="10" t="s">
        <v>403</v>
      </c>
      <c r="G247" s="12">
        <v>20</v>
      </c>
      <c r="H247" s="16">
        <v>10</v>
      </c>
      <c r="I247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47" t="str">
        <f>IF(COUNTIF(Table2[Student ID],Table2[[#This Row],[Student ID]])&gt;1,"Duplicate","OK")</f>
        <v>OK</v>
      </c>
      <c r="K247" t="str">
        <f>IF(Table2[[#This Row],[Monthly Payment ($)]]&gt;50, "Unusual","OK")</f>
        <v>OK</v>
      </c>
    </row>
    <row r="248" spans="1:11" x14ac:dyDescent="0.35">
      <c r="A248" s="8" t="s">
        <v>256</v>
      </c>
      <c r="B248" t="s">
        <v>389</v>
      </c>
      <c r="C248" s="8" t="s">
        <v>391</v>
      </c>
      <c r="D248" s="8" t="s">
        <v>397</v>
      </c>
      <c r="E248" s="8" t="s">
        <v>400</v>
      </c>
      <c r="F248" s="10" t="s">
        <v>405</v>
      </c>
      <c r="G248" s="12">
        <v>0</v>
      </c>
      <c r="H248" s="16">
        <v>15</v>
      </c>
      <c r="I248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48" t="str">
        <f>IF(COUNTIF(Table2[Student ID],Table2[[#This Row],[Student ID]])&gt;1,"Duplicate","OK")</f>
        <v>OK</v>
      </c>
      <c r="K248" t="str">
        <f>IF(Table2[[#This Row],[Monthly Payment ($)]]&gt;50, "Unusual","OK")</f>
        <v>OK</v>
      </c>
    </row>
    <row r="249" spans="1:11" x14ac:dyDescent="0.35">
      <c r="A249" s="8" t="s">
        <v>257</v>
      </c>
      <c r="B249" t="s">
        <v>387</v>
      </c>
      <c r="C249" s="8" t="s">
        <v>391</v>
      </c>
      <c r="D249" s="8" t="s">
        <v>395</v>
      </c>
      <c r="E249" s="8" t="s">
        <v>401</v>
      </c>
      <c r="F249" s="10" t="s">
        <v>405</v>
      </c>
      <c r="G249" s="12">
        <v>20</v>
      </c>
      <c r="H249" s="16">
        <v>3</v>
      </c>
      <c r="I249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49" t="str">
        <f>IF(COUNTIF(Table2[Student ID],Table2[[#This Row],[Student ID]])&gt;1,"Duplicate","OK")</f>
        <v>OK</v>
      </c>
      <c r="K249" t="str">
        <f>IF(Table2[[#This Row],[Monthly Payment ($)]]&gt;50, "Unusual","OK")</f>
        <v>OK</v>
      </c>
    </row>
    <row r="250" spans="1:11" x14ac:dyDescent="0.35">
      <c r="A250" s="8" t="s">
        <v>258</v>
      </c>
      <c r="B250" t="s">
        <v>386</v>
      </c>
      <c r="C250" s="8" t="s">
        <v>391</v>
      </c>
      <c r="D250" s="8" t="s">
        <v>396</v>
      </c>
      <c r="E250" s="8" t="s">
        <v>401</v>
      </c>
      <c r="F250" s="10" t="s">
        <v>405</v>
      </c>
      <c r="G250" s="12">
        <v>50</v>
      </c>
      <c r="H250" s="16">
        <v>1</v>
      </c>
      <c r="I250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50" t="str">
        <f>IF(COUNTIF(Table2[Student ID],Table2[[#This Row],[Student ID]])&gt;1,"Duplicate","OK")</f>
        <v>OK</v>
      </c>
      <c r="K250" t="str">
        <f>IF(Table2[[#This Row],[Monthly Payment ($)]]&gt;50, "Unusual","OK")</f>
        <v>OK</v>
      </c>
    </row>
    <row r="251" spans="1:11" x14ac:dyDescent="0.35">
      <c r="A251" s="8" t="s">
        <v>259</v>
      </c>
      <c r="B251" t="s">
        <v>386</v>
      </c>
      <c r="C251" s="8" t="s">
        <v>394</v>
      </c>
      <c r="D251" s="8" t="s">
        <v>397</v>
      </c>
      <c r="E251" s="8" t="s">
        <v>401</v>
      </c>
      <c r="F251" s="10" t="s">
        <v>404</v>
      </c>
      <c r="G251" s="12">
        <v>0</v>
      </c>
      <c r="H251" s="16">
        <v>3</v>
      </c>
      <c r="I251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51" t="str">
        <f>IF(COUNTIF(Table2[Student ID],Table2[[#This Row],[Student ID]])&gt;1,"Duplicate","OK")</f>
        <v>OK</v>
      </c>
      <c r="K251" t="str">
        <f>IF(Table2[[#This Row],[Monthly Payment ($)]]&gt;50, "Unusual","OK")</f>
        <v>OK</v>
      </c>
    </row>
    <row r="252" spans="1:11" x14ac:dyDescent="0.35">
      <c r="A252" s="8" t="s">
        <v>260</v>
      </c>
      <c r="B252" t="s">
        <v>388</v>
      </c>
      <c r="C252" s="8" t="s">
        <v>390</v>
      </c>
      <c r="D252" s="8" t="s">
        <v>397</v>
      </c>
      <c r="E252" s="8" t="s">
        <v>401</v>
      </c>
      <c r="F252" s="10" t="s">
        <v>404</v>
      </c>
      <c r="G252" s="12">
        <v>0</v>
      </c>
      <c r="H252" s="16">
        <v>5</v>
      </c>
      <c r="I252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52" t="str">
        <f>IF(COUNTIF(Table2[Student ID],Table2[[#This Row],[Student ID]])&gt;1,"Duplicate","OK")</f>
        <v>OK</v>
      </c>
      <c r="K252" t="str">
        <f>IF(Table2[[#This Row],[Monthly Payment ($)]]&gt;50, "Unusual","OK")</f>
        <v>OK</v>
      </c>
    </row>
    <row r="253" spans="1:11" x14ac:dyDescent="0.35">
      <c r="A253" s="8" t="s">
        <v>261</v>
      </c>
      <c r="B253" t="s">
        <v>387</v>
      </c>
      <c r="C253" s="8" t="s">
        <v>390</v>
      </c>
      <c r="D253" s="8" t="s">
        <v>395</v>
      </c>
      <c r="E253" s="8" t="s">
        <v>400</v>
      </c>
      <c r="F253" s="10" t="s">
        <v>403</v>
      </c>
      <c r="G253" s="12">
        <v>20</v>
      </c>
      <c r="H253" s="16">
        <v>6</v>
      </c>
      <c r="I253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53" t="str">
        <f>IF(COUNTIF(Table2[Student ID],Table2[[#This Row],[Student ID]])&gt;1,"Duplicate","OK")</f>
        <v>OK</v>
      </c>
      <c r="K253" t="str">
        <f>IF(Table2[[#This Row],[Monthly Payment ($)]]&gt;50, "Unusual","OK")</f>
        <v>OK</v>
      </c>
    </row>
    <row r="254" spans="1:11" x14ac:dyDescent="0.35">
      <c r="A254" s="8" t="s">
        <v>262</v>
      </c>
      <c r="B254" t="s">
        <v>386</v>
      </c>
      <c r="C254" s="8" t="s">
        <v>390</v>
      </c>
      <c r="D254" s="8" t="s">
        <v>395</v>
      </c>
      <c r="E254" s="8" t="s">
        <v>398</v>
      </c>
      <c r="F254" s="10" t="s">
        <v>402</v>
      </c>
      <c r="G254" s="12">
        <v>20</v>
      </c>
      <c r="H254" s="16">
        <v>10</v>
      </c>
      <c r="I254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54" t="str">
        <f>IF(COUNTIF(Table2[Student ID],Table2[[#This Row],[Student ID]])&gt;1,"Duplicate","OK")</f>
        <v>OK</v>
      </c>
      <c r="K254" t="str">
        <f>IF(Table2[[#This Row],[Monthly Payment ($)]]&gt;50, "Unusual","OK")</f>
        <v>OK</v>
      </c>
    </row>
    <row r="255" spans="1:11" x14ac:dyDescent="0.35">
      <c r="A255" s="8" t="s">
        <v>263</v>
      </c>
      <c r="B255" t="s">
        <v>389</v>
      </c>
      <c r="C255" s="8" t="s">
        <v>393</v>
      </c>
      <c r="D255" s="8" t="s">
        <v>397</v>
      </c>
      <c r="E255" s="8" t="s">
        <v>401</v>
      </c>
      <c r="F255" s="10" t="s">
        <v>404</v>
      </c>
      <c r="G255" s="12">
        <v>0</v>
      </c>
      <c r="H255" s="16">
        <v>18</v>
      </c>
      <c r="I255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55" t="str">
        <f>IF(COUNTIF(Table2[Student ID],Table2[[#This Row],[Student ID]])&gt;1,"Duplicate","OK")</f>
        <v>OK</v>
      </c>
      <c r="K255" t="str">
        <f>IF(Table2[[#This Row],[Monthly Payment ($)]]&gt;50, "Unusual","OK")</f>
        <v>OK</v>
      </c>
    </row>
    <row r="256" spans="1:11" x14ac:dyDescent="0.35">
      <c r="A256" s="8" t="s">
        <v>264</v>
      </c>
      <c r="B256" t="s">
        <v>385</v>
      </c>
      <c r="C256" s="8" t="s">
        <v>390</v>
      </c>
      <c r="D256" s="8" t="s">
        <v>395</v>
      </c>
      <c r="E256" s="8" t="s">
        <v>400</v>
      </c>
      <c r="F256" s="10" t="s">
        <v>406</v>
      </c>
      <c r="G256" s="12">
        <v>20</v>
      </c>
      <c r="H256" s="16">
        <v>13</v>
      </c>
      <c r="I256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56" t="str">
        <f>IF(COUNTIF(Table2[Student ID],Table2[[#This Row],[Student ID]])&gt;1,"Duplicate","OK")</f>
        <v>OK</v>
      </c>
      <c r="K256" t="str">
        <f>IF(Table2[[#This Row],[Monthly Payment ($)]]&gt;50, "Unusual","OK")</f>
        <v>OK</v>
      </c>
    </row>
    <row r="257" spans="1:11" x14ac:dyDescent="0.35">
      <c r="A257" s="8" t="s">
        <v>265</v>
      </c>
      <c r="B257" t="s">
        <v>389</v>
      </c>
      <c r="C257" s="8" t="s">
        <v>390</v>
      </c>
      <c r="D257" s="8" t="s">
        <v>395</v>
      </c>
      <c r="E257" s="8" t="s">
        <v>401</v>
      </c>
      <c r="F257" s="10" t="s">
        <v>404</v>
      </c>
      <c r="G257" s="12">
        <v>20</v>
      </c>
      <c r="H257" s="16">
        <v>6</v>
      </c>
      <c r="I257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57" t="str">
        <f>IF(COUNTIF(Table2[Student ID],Table2[[#This Row],[Student ID]])&gt;1,"Duplicate","OK")</f>
        <v>OK</v>
      </c>
      <c r="K257" t="str">
        <f>IF(Table2[[#This Row],[Monthly Payment ($)]]&gt;50, "Unusual","OK")</f>
        <v>OK</v>
      </c>
    </row>
    <row r="258" spans="1:11" x14ac:dyDescent="0.35">
      <c r="A258" s="8" t="s">
        <v>266</v>
      </c>
      <c r="B258" t="s">
        <v>388</v>
      </c>
      <c r="C258" s="8" t="s">
        <v>391</v>
      </c>
      <c r="D258" s="8" t="s">
        <v>396</v>
      </c>
      <c r="E258" s="8" t="s">
        <v>401</v>
      </c>
      <c r="F258" s="10" t="s">
        <v>405</v>
      </c>
      <c r="G258" s="12">
        <v>50</v>
      </c>
      <c r="H258" s="16">
        <v>9</v>
      </c>
      <c r="I258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58" t="str">
        <f>IF(COUNTIF(Table2[Student ID],Table2[[#This Row],[Student ID]])&gt;1,"Duplicate","OK")</f>
        <v>OK</v>
      </c>
      <c r="K258" t="str">
        <f>IF(Table2[[#This Row],[Monthly Payment ($)]]&gt;50, "Unusual","OK")</f>
        <v>OK</v>
      </c>
    </row>
    <row r="259" spans="1:11" x14ac:dyDescent="0.35">
      <c r="A259" s="8" t="s">
        <v>267</v>
      </c>
      <c r="B259" t="s">
        <v>389</v>
      </c>
      <c r="C259" s="8" t="s">
        <v>394</v>
      </c>
      <c r="D259" s="8" t="s">
        <v>397</v>
      </c>
      <c r="E259" s="8" t="s">
        <v>399</v>
      </c>
      <c r="F259" s="10" t="s">
        <v>404</v>
      </c>
      <c r="G259" s="12">
        <v>0</v>
      </c>
      <c r="H259" s="16">
        <v>1</v>
      </c>
      <c r="I259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59" t="str">
        <f>IF(COUNTIF(Table2[Student ID],Table2[[#This Row],[Student ID]])&gt;1,"Duplicate","OK")</f>
        <v>OK</v>
      </c>
      <c r="K259" t="str">
        <f>IF(Table2[[#This Row],[Monthly Payment ($)]]&gt;50, "Unusual","OK")</f>
        <v>OK</v>
      </c>
    </row>
    <row r="260" spans="1:11" x14ac:dyDescent="0.35">
      <c r="A260" s="8" t="s">
        <v>268</v>
      </c>
      <c r="B260" t="s">
        <v>389</v>
      </c>
      <c r="C260" s="8" t="s">
        <v>394</v>
      </c>
      <c r="D260" s="8" t="s">
        <v>396</v>
      </c>
      <c r="E260" s="8" t="s">
        <v>401</v>
      </c>
      <c r="F260" s="10" t="s">
        <v>406</v>
      </c>
      <c r="G260" s="12">
        <v>50</v>
      </c>
      <c r="H260" s="16">
        <v>15</v>
      </c>
      <c r="I260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60" t="str">
        <f>IF(COUNTIF(Table2[Student ID],Table2[[#This Row],[Student ID]])&gt;1,"Duplicate","OK")</f>
        <v>OK</v>
      </c>
      <c r="K260" t="str">
        <f>IF(Table2[[#This Row],[Monthly Payment ($)]]&gt;50, "Unusual","OK")</f>
        <v>OK</v>
      </c>
    </row>
    <row r="261" spans="1:11" x14ac:dyDescent="0.35">
      <c r="A261" s="8" t="s">
        <v>269</v>
      </c>
      <c r="B261" t="s">
        <v>385</v>
      </c>
      <c r="C261" s="8" t="s">
        <v>393</v>
      </c>
      <c r="D261" s="8" t="s">
        <v>395</v>
      </c>
      <c r="E261" s="8" t="s">
        <v>400</v>
      </c>
      <c r="F261" s="10" t="s">
        <v>403</v>
      </c>
      <c r="G261" s="12">
        <v>20</v>
      </c>
      <c r="H261" s="16">
        <v>2</v>
      </c>
      <c r="I261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61" t="str">
        <f>IF(COUNTIF(Table2[Student ID],Table2[[#This Row],[Student ID]])&gt;1,"Duplicate","OK")</f>
        <v>OK</v>
      </c>
      <c r="K261" t="str">
        <f>IF(Table2[[#This Row],[Monthly Payment ($)]]&gt;50, "Unusual","OK")</f>
        <v>OK</v>
      </c>
    </row>
    <row r="262" spans="1:11" x14ac:dyDescent="0.35">
      <c r="A262" s="8" t="s">
        <v>270</v>
      </c>
      <c r="B262" t="s">
        <v>388</v>
      </c>
      <c r="C262" s="8" t="s">
        <v>391</v>
      </c>
      <c r="D262" s="8" t="s">
        <v>396</v>
      </c>
      <c r="E262" s="8" t="s">
        <v>398</v>
      </c>
      <c r="F262" s="10" t="s">
        <v>404</v>
      </c>
      <c r="G262" s="12">
        <v>50</v>
      </c>
      <c r="H262" s="16">
        <v>2</v>
      </c>
      <c r="I262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62" t="str">
        <f>IF(COUNTIF(Table2[Student ID],Table2[[#This Row],[Student ID]])&gt;1,"Duplicate","OK")</f>
        <v>OK</v>
      </c>
      <c r="K262" t="str">
        <f>IF(Table2[[#This Row],[Monthly Payment ($)]]&gt;50, "Unusual","OK")</f>
        <v>OK</v>
      </c>
    </row>
    <row r="263" spans="1:11" x14ac:dyDescent="0.35">
      <c r="A263" s="8" t="s">
        <v>271</v>
      </c>
      <c r="B263" t="s">
        <v>387</v>
      </c>
      <c r="C263" s="8" t="s">
        <v>391</v>
      </c>
      <c r="D263" s="8" t="s">
        <v>397</v>
      </c>
      <c r="E263" s="8" t="s">
        <v>399</v>
      </c>
      <c r="F263" s="10" t="s">
        <v>406</v>
      </c>
      <c r="G263" s="12">
        <v>0</v>
      </c>
      <c r="H263" s="16">
        <v>12</v>
      </c>
      <c r="I263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63" t="str">
        <f>IF(COUNTIF(Table2[Student ID],Table2[[#This Row],[Student ID]])&gt;1,"Duplicate","OK")</f>
        <v>OK</v>
      </c>
      <c r="K263" t="str">
        <f>IF(Table2[[#This Row],[Monthly Payment ($)]]&gt;50, "Unusual","OK")</f>
        <v>OK</v>
      </c>
    </row>
    <row r="264" spans="1:11" x14ac:dyDescent="0.35">
      <c r="A264" s="8" t="s">
        <v>272</v>
      </c>
      <c r="B264" t="s">
        <v>387</v>
      </c>
      <c r="C264" s="8" t="s">
        <v>393</v>
      </c>
      <c r="D264" s="8" t="s">
        <v>396</v>
      </c>
      <c r="E264" s="8" t="s">
        <v>401</v>
      </c>
      <c r="F264" s="10" t="s">
        <v>406</v>
      </c>
      <c r="G264" s="12">
        <v>50</v>
      </c>
      <c r="H264" s="16">
        <v>8</v>
      </c>
      <c r="I264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64" t="str">
        <f>IF(COUNTIF(Table2[Student ID],Table2[[#This Row],[Student ID]])&gt;1,"Duplicate","OK")</f>
        <v>OK</v>
      </c>
      <c r="K264" t="str">
        <f>IF(Table2[[#This Row],[Monthly Payment ($)]]&gt;50, "Unusual","OK")</f>
        <v>OK</v>
      </c>
    </row>
    <row r="265" spans="1:11" x14ac:dyDescent="0.35">
      <c r="A265" s="8" t="s">
        <v>273</v>
      </c>
      <c r="B265" t="s">
        <v>387</v>
      </c>
      <c r="C265" s="8" t="s">
        <v>392</v>
      </c>
      <c r="D265" s="8" t="s">
        <v>397</v>
      </c>
      <c r="E265" s="8" t="s">
        <v>399</v>
      </c>
      <c r="F265" s="10" t="s">
        <v>404</v>
      </c>
      <c r="G265" s="12">
        <v>0</v>
      </c>
      <c r="H265" s="16">
        <v>7</v>
      </c>
      <c r="I265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65" t="str">
        <f>IF(COUNTIF(Table2[Student ID],Table2[[#This Row],[Student ID]])&gt;1,"Duplicate","OK")</f>
        <v>OK</v>
      </c>
      <c r="K265" t="str">
        <f>IF(Table2[[#This Row],[Monthly Payment ($)]]&gt;50, "Unusual","OK")</f>
        <v>OK</v>
      </c>
    </row>
    <row r="266" spans="1:11" x14ac:dyDescent="0.35">
      <c r="A266" s="8" t="s">
        <v>274</v>
      </c>
      <c r="B266" t="s">
        <v>389</v>
      </c>
      <c r="C266" s="8" t="s">
        <v>390</v>
      </c>
      <c r="D266" s="8" t="s">
        <v>395</v>
      </c>
      <c r="E266" s="8" t="s">
        <v>400</v>
      </c>
      <c r="F266" s="10" t="s">
        <v>405</v>
      </c>
      <c r="G266" s="12">
        <v>20</v>
      </c>
      <c r="H266" s="16">
        <v>18</v>
      </c>
      <c r="I266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66" t="str">
        <f>IF(COUNTIF(Table2[Student ID],Table2[[#This Row],[Student ID]])&gt;1,"Duplicate","OK")</f>
        <v>OK</v>
      </c>
      <c r="K266" t="str">
        <f>IF(Table2[[#This Row],[Monthly Payment ($)]]&gt;50, "Unusual","OK")</f>
        <v>OK</v>
      </c>
    </row>
    <row r="267" spans="1:11" x14ac:dyDescent="0.35">
      <c r="A267" s="8" t="s">
        <v>275</v>
      </c>
      <c r="B267" t="s">
        <v>389</v>
      </c>
      <c r="C267" s="8" t="s">
        <v>390</v>
      </c>
      <c r="D267" s="8" t="s">
        <v>395</v>
      </c>
      <c r="E267" s="8" t="s">
        <v>401</v>
      </c>
      <c r="F267" s="10" t="s">
        <v>406</v>
      </c>
      <c r="G267" s="12">
        <v>20</v>
      </c>
      <c r="H267" s="16">
        <v>7</v>
      </c>
      <c r="I267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67" t="str">
        <f>IF(COUNTIF(Table2[Student ID],Table2[[#This Row],[Student ID]])&gt;1,"Duplicate","OK")</f>
        <v>OK</v>
      </c>
      <c r="K267" t="str">
        <f>IF(Table2[[#This Row],[Monthly Payment ($)]]&gt;50, "Unusual","OK")</f>
        <v>OK</v>
      </c>
    </row>
    <row r="268" spans="1:11" x14ac:dyDescent="0.35">
      <c r="A268" s="8" t="s">
        <v>276</v>
      </c>
      <c r="B268" t="s">
        <v>389</v>
      </c>
      <c r="C268" s="8" t="s">
        <v>391</v>
      </c>
      <c r="D268" s="8" t="s">
        <v>396</v>
      </c>
      <c r="E268" s="8" t="s">
        <v>400</v>
      </c>
      <c r="F268" s="10" t="s">
        <v>406</v>
      </c>
      <c r="G268" s="12">
        <v>50</v>
      </c>
      <c r="H268" s="16">
        <v>14</v>
      </c>
      <c r="I268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68" t="str">
        <f>IF(COUNTIF(Table2[Student ID],Table2[[#This Row],[Student ID]])&gt;1,"Duplicate","OK")</f>
        <v>OK</v>
      </c>
      <c r="K268" t="str">
        <f>IF(Table2[[#This Row],[Monthly Payment ($)]]&gt;50, "Unusual","OK")</f>
        <v>OK</v>
      </c>
    </row>
    <row r="269" spans="1:11" x14ac:dyDescent="0.35">
      <c r="A269" s="8" t="s">
        <v>277</v>
      </c>
      <c r="B269" t="s">
        <v>387</v>
      </c>
      <c r="C269" s="8" t="s">
        <v>390</v>
      </c>
      <c r="D269" s="8" t="s">
        <v>395</v>
      </c>
      <c r="E269" s="8" t="s">
        <v>398</v>
      </c>
      <c r="F269" s="10" t="s">
        <v>405</v>
      </c>
      <c r="G269" s="12">
        <v>20</v>
      </c>
      <c r="H269" s="16">
        <v>7</v>
      </c>
      <c r="I269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69" t="str">
        <f>IF(COUNTIF(Table2[Student ID],Table2[[#This Row],[Student ID]])&gt;1,"Duplicate","OK")</f>
        <v>OK</v>
      </c>
      <c r="K269" t="str">
        <f>IF(Table2[[#This Row],[Monthly Payment ($)]]&gt;50, "Unusual","OK")</f>
        <v>OK</v>
      </c>
    </row>
    <row r="270" spans="1:11" x14ac:dyDescent="0.35">
      <c r="A270" s="8" t="s">
        <v>278</v>
      </c>
      <c r="B270" t="s">
        <v>388</v>
      </c>
      <c r="C270" s="8" t="s">
        <v>394</v>
      </c>
      <c r="D270" s="8" t="s">
        <v>397</v>
      </c>
      <c r="E270" s="8" t="s">
        <v>398</v>
      </c>
      <c r="F270" s="10" t="s">
        <v>404</v>
      </c>
      <c r="G270" s="12">
        <v>0</v>
      </c>
      <c r="H270" s="16">
        <v>6</v>
      </c>
      <c r="I270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70" t="str">
        <f>IF(COUNTIF(Table2[Student ID],Table2[[#This Row],[Student ID]])&gt;1,"Duplicate","OK")</f>
        <v>OK</v>
      </c>
      <c r="K270" t="str">
        <f>IF(Table2[[#This Row],[Monthly Payment ($)]]&gt;50, "Unusual","OK")</f>
        <v>OK</v>
      </c>
    </row>
    <row r="271" spans="1:11" x14ac:dyDescent="0.35">
      <c r="A271" s="8" t="s">
        <v>279</v>
      </c>
      <c r="B271" t="s">
        <v>388</v>
      </c>
      <c r="C271" s="8" t="s">
        <v>390</v>
      </c>
      <c r="D271" s="8" t="s">
        <v>395</v>
      </c>
      <c r="E271" s="8" t="s">
        <v>399</v>
      </c>
      <c r="F271" s="10" t="s">
        <v>402</v>
      </c>
      <c r="G271" s="12">
        <v>20</v>
      </c>
      <c r="H271" s="16">
        <v>0</v>
      </c>
      <c r="I271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71" t="str">
        <f>IF(COUNTIF(Table2[Student ID],Table2[[#This Row],[Student ID]])&gt;1,"Duplicate","OK")</f>
        <v>OK</v>
      </c>
      <c r="K271" t="str">
        <f>IF(Table2[[#This Row],[Monthly Payment ($)]]&gt;50, "Unusual","OK")</f>
        <v>OK</v>
      </c>
    </row>
    <row r="272" spans="1:11" x14ac:dyDescent="0.35">
      <c r="A272" s="8" t="s">
        <v>280</v>
      </c>
      <c r="B272" t="s">
        <v>386</v>
      </c>
      <c r="C272" s="8" t="s">
        <v>392</v>
      </c>
      <c r="D272" s="8" t="s">
        <v>395</v>
      </c>
      <c r="E272" s="8" t="s">
        <v>399</v>
      </c>
      <c r="F272" s="10" t="s">
        <v>403</v>
      </c>
      <c r="G272" s="12">
        <v>20</v>
      </c>
      <c r="H272" s="16">
        <v>16</v>
      </c>
      <c r="I272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72" t="str">
        <f>IF(COUNTIF(Table2[Student ID],Table2[[#This Row],[Student ID]])&gt;1,"Duplicate","OK")</f>
        <v>OK</v>
      </c>
      <c r="K272" t="str">
        <f>IF(Table2[[#This Row],[Monthly Payment ($)]]&gt;50, "Unusual","OK")</f>
        <v>OK</v>
      </c>
    </row>
    <row r="273" spans="1:11" x14ac:dyDescent="0.35">
      <c r="A273" s="8" t="s">
        <v>281</v>
      </c>
      <c r="B273" t="s">
        <v>385</v>
      </c>
      <c r="C273" s="8" t="s">
        <v>390</v>
      </c>
      <c r="D273" s="8" t="s">
        <v>396</v>
      </c>
      <c r="E273" s="8" t="s">
        <v>401</v>
      </c>
      <c r="F273" s="10" t="s">
        <v>403</v>
      </c>
      <c r="G273" s="12">
        <v>50</v>
      </c>
      <c r="H273" s="16">
        <v>7</v>
      </c>
      <c r="I273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73" t="str">
        <f>IF(COUNTIF(Table2[Student ID],Table2[[#This Row],[Student ID]])&gt;1,"Duplicate","OK")</f>
        <v>OK</v>
      </c>
      <c r="K273" t="str">
        <f>IF(Table2[[#This Row],[Monthly Payment ($)]]&gt;50, "Unusual","OK")</f>
        <v>OK</v>
      </c>
    </row>
    <row r="274" spans="1:11" x14ac:dyDescent="0.35">
      <c r="A274" s="8" t="s">
        <v>282</v>
      </c>
      <c r="B274" t="s">
        <v>386</v>
      </c>
      <c r="C274" s="8" t="s">
        <v>391</v>
      </c>
      <c r="D274" s="8" t="s">
        <v>396</v>
      </c>
      <c r="E274" s="8" t="s">
        <v>398</v>
      </c>
      <c r="F274" s="10" t="s">
        <v>402</v>
      </c>
      <c r="G274" s="12">
        <v>50</v>
      </c>
      <c r="H274" s="16">
        <v>14</v>
      </c>
      <c r="I274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74" t="str">
        <f>IF(COUNTIF(Table2[Student ID],Table2[[#This Row],[Student ID]])&gt;1,"Duplicate","OK")</f>
        <v>OK</v>
      </c>
      <c r="K274" t="str">
        <f>IF(Table2[[#This Row],[Monthly Payment ($)]]&gt;50, "Unusual","OK")</f>
        <v>OK</v>
      </c>
    </row>
    <row r="275" spans="1:11" x14ac:dyDescent="0.35">
      <c r="A275" s="8" t="s">
        <v>283</v>
      </c>
      <c r="B275" t="s">
        <v>388</v>
      </c>
      <c r="C275" s="8" t="s">
        <v>393</v>
      </c>
      <c r="D275" s="8" t="s">
        <v>395</v>
      </c>
      <c r="E275" s="8" t="s">
        <v>399</v>
      </c>
      <c r="F275" s="10" t="s">
        <v>404</v>
      </c>
      <c r="G275" s="12">
        <v>20</v>
      </c>
      <c r="H275" s="16">
        <v>6</v>
      </c>
      <c r="I275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75" t="str">
        <f>IF(COUNTIF(Table2[Student ID],Table2[[#This Row],[Student ID]])&gt;1,"Duplicate","OK")</f>
        <v>OK</v>
      </c>
      <c r="K275" t="str">
        <f>IF(Table2[[#This Row],[Monthly Payment ($)]]&gt;50, "Unusual","OK")</f>
        <v>OK</v>
      </c>
    </row>
    <row r="276" spans="1:11" x14ac:dyDescent="0.35">
      <c r="A276" s="8" t="s">
        <v>284</v>
      </c>
      <c r="B276" t="s">
        <v>389</v>
      </c>
      <c r="C276" s="8" t="s">
        <v>394</v>
      </c>
      <c r="D276" s="8" t="s">
        <v>395</v>
      </c>
      <c r="E276" s="8" t="s">
        <v>399</v>
      </c>
      <c r="F276" s="10" t="s">
        <v>406</v>
      </c>
      <c r="G276" s="12">
        <v>20</v>
      </c>
      <c r="H276" s="16">
        <v>12</v>
      </c>
      <c r="I276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76" t="str">
        <f>IF(COUNTIF(Table2[Student ID],Table2[[#This Row],[Student ID]])&gt;1,"Duplicate","OK")</f>
        <v>OK</v>
      </c>
      <c r="K276" t="str">
        <f>IF(Table2[[#This Row],[Monthly Payment ($)]]&gt;50, "Unusual","OK")</f>
        <v>OK</v>
      </c>
    </row>
    <row r="277" spans="1:11" x14ac:dyDescent="0.35">
      <c r="A277" s="8" t="s">
        <v>285</v>
      </c>
      <c r="B277" t="s">
        <v>388</v>
      </c>
      <c r="C277" s="8" t="s">
        <v>394</v>
      </c>
      <c r="D277" s="8" t="s">
        <v>396</v>
      </c>
      <c r="E277" s="8" t="s">
        <v>398</v>
      </c>
      <c r="F277" s="10" t="s">
        <v>402</v>
      </c>
      <c r="G277" s="12">
        <v>50</v>
      </c>
      <c r="H277" s="16">
        <v>5</v>
      </c>
      <c r="I277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77" t="str">
        <f>IF(COUNTIF(Table2[Student ID],Table2[[#This Row],[Student ID]])&gt;1,"Duplicate","OK")</f>
        <v>OK</v>
      </c>
      <c r="K277" t="str">
        <f>IF(Table2[[#This Row],[Monthly Payment ($)]]&gt;50, "Unusual","OK")</f>
        <v>OK</v>
      </c>
    </row>
    <row r="278" spans="1:11" x14ac:dyDescent="0.35">
      <c r="A278" s="8" t="s">
        <v>286</v>
      </c>
      <c r="B278" t="s">
        <v>387</v>
      </c>
      <c r="C278" s="8" t="s">
        <v>391</v>
      </c>
      <c r="D278" s="8" t="s">
        <v>396</v>
      </c>
      <c r="E278" s="8" t="s">
        <v>401</v>
      </c>
      <c r="F278" s="10" t="s">
        <v>403</v>
      </c>
      <c r="G278" s="12">
        <v>50</v>
      </c>
      <c r="H278" s="16">
        <v>18</v>
      </c>
      <c r="I278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78" t="str">
        <f>IF(COUNTIF(Table2[Student ID],Table2[[#This Row],[Student ID]])&gt;1,"Duplicate","OK")</f>
        <v>OK</v>
      </c>
      <c r="K278" t="str">
        <f>IF(Table2[[#This Row],[Monthly Payment ($)]]&gt;50, "Unusual","OK")</f>
        <v>OK</v>
      </c>
    </row>
    <row r="279" spans="1:11" x14ac:dyDescent="0.35">
      <c r="A279" s="8" t="s">
        <v>287</v>
      </c>
      <c r="B279" t="s">
        <v>386</v>
      </c>
      <c r="C279" s="8" t="s">
        <v>394</v>
      </c>
      <c r="D279" s="8" t="s">
        <v>395</v>
      </c>
      <c r="E279" s="8" t="s">
        <v>398</v>
      </c>
      <c r="F279" s="10" t="s">
        <v>405</v>
      </c>
      <c r="G279" s="12">
        <v>20</v>
      </c>
      <c r="H279" s="16">
        <v>16</v>
      </c>
      <c r="I279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79" t="str">
        <f>IF(COUNTIF(Table2[Student ID],Table2[[#This Row],[Student ID]])&gt;1,"Duplicate","OK")</f>
        <v>OK</v>
      </c>
      <c r="K279" t="str">
        <f>IF(Table2[[#This Row],[Monthly Payment ($)]]&gt;50, "Unusual","OK")</f>
        <v>OK</v>
      </c>
    </row>
    <row r="280" spans="1:11" x14ac:dyDescent="0.35">
      <c r="A280" s="8" t="s">
        <v>288</v>
      </c>
      <c r="B280" t="s">
        <v>387</v>
      </c>
      <c r="C280" s="8" t="s">
        <v>394</v>
      </c>
      <c r="D280" s="8" t="s">
        <v>396</v>
      </c>
      <c r="E280" s="8" t="s">
        <v>399</v>
      </c>
      <c r="F280" s="10" t="s">
        <v>404</v>
      </c>
      <c r="G280" s="12">
        <v>50</v>
      </c>
      <c r="H280" s="16">
        <v>1</v>
      </c>
      <c r="I280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80" t="str">
        <f>IF(COUNTIF(Table2[Student ID],Table2[[#This Row],[Student ID]])&gt;1,"Duplicate","OK")</f>
        <v>OK</v>
      </c>
      <c r="K280" t="str">
        <f>IF(Table2[[#This Row],[Monthly Payment ($)]]&gt;50, "Unusual","OK")</f>
        <v>OK</v>
      </c>
    </row>
    <row r="281" spans="1:11" x14ac:dyDescent="0.35">
      <c r="A281" s="8" t="s">
        <v>289</v>
      </c>
      <c r="B281" t="s">
        <v>389</v>
      </c>
      <c r="C281" s="8" t="s">
        <v>390</v>
      </c>
      <c r="D281" s="8" t="s">
        <v>397</v>
      </c>
      <c r="E281" s="8" t="s">
        <v>398</v>
      </c>
      <c r="F281" s="10" t="s">
        <v>403</v>
      </c>
      <c r="G281" s="12">
        <v>0</v>
      </c>
      <c r="H281" s="16">
        <v>6</v>
      </c>
      <c r="I281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81" t="str">
        <f>IF(COUNTIF(Table2[Student ID],Table2[[#This Row],[Student ID]])&gt;1,"Duplicate","OK")</f>
        <v>OK</v>
      </c>
      <c r="K281" t="str">
        <f>IF(Table2[[#This Row],[Monthly Payment ($)]]&gt;50, "Unusual","OK")</f>
        <v>OK</v>
      </c>
    </row>
    <row r="282" spans="1:11" x14ac:dyDescent="0.35">
      <c r="A282" s="8" t="s">
        <v>290</v>
      </c>
      <c r="B282" t="s">
        <v>385</v>
      </c>
      <c r="C282" s="8" t="s">
        <v>393</v>
      </c>
      <c r="D282" s="8" t="s">
        <v>397</v>
      </c>
      <c r="E282" s="8" t="s">
        <v>400</v>
      </c>
      <c r="F282" s="10" t="s">
        <v>402</v>
      </c>
      <c r="G282" s="12">
        <v>0</v>
      </c>
      <c r="H282" s="16">
        <v>11</v>
      </c>
      <c r="I282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82" t="str">
        <f>IF(COUNTIF(Table2[Student ID],Table2[[#This Row],[Student ID]])&gt;1,"Duplicate","OK")</f>
        <v>OK</v>
      </c>
      <c r="K282" t="str">
        <f>IF(Table2[[#This Row],[Monthly Payment ($)]]&gt;50, "Unusual","OK")</f>
        <v>OK</v>
      </c>
    </row>
    <row r="283" spans="1:11" x14ac:dyDescent="0.35">
      <c r="A283" s="8" t="s">
        <v>291</v>
      </c>
      <c r="B283" t="s">
        <v>386</v>
      </c>
      <c r="C283" s="8" t="s">
        <v>394</v>
      </c>
      <c r="D283" s="8" t="s">
        <v>395</v>
      </c>
      <c r="E283" s="8" t="s">
        <v>400</v>
      </c>
      <c r="F283" s="10" t="s">
        <v>405</v>
      </c>
      <c r="G283" s="12">
        <v>20</v>
      </c>
      <c r="H283" s="16">
        <v>9</v>
      </c>
      <c r="I283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83" t="str">
        <f>IF(COUNTIF(Table2[Student ID],Table2[[#This Row],[Student ID]])&gt;1,"Duplicate","OK")</f>
        <v>OK</v>
      </c>
      <c r="K283" t="str">
        <f>IF(Table2[[#This Row],[Monthly Payment ($)]]&gt;50, "Unusual","OK")</f>
        <v>OK</v>
      </c>
    </row>
    <row r="284" spans="1:11" x14ac:dyDescent="0.35">
      <c r="A284" s="8" t="s">
        <v>292</v>
      </c>
      <c r="B284" t="s">
        <v>389</v>
      </c>
      <c r="C284" s="8" t="s">
        <v>390</v>
      </c>
      <c r="D284" s="8" t="s">
        <v>397</v>
      </c>
      <c r="E284" s="8" t="s">
        <v>401</v>
      </c>
      <c r="F284" s="10" t="s">
        <v>404</v>
      </c>
      <c r="G284" s="12">
        <v>0</v>
      </c>
      <c r="H284" s="16">
        <v>12</v>
      </c>
      <c r="I284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84" t="str">
        <f>IF(COUNTIF(Table2[Student ID],Table2[[#This Row],[Student ID]])&gt;1,"Duplicate","OK")</f>
        <v>OK</v>
      </c>
      <c r="K284" t="str">
        <f>IF(Table2[[#This Row],[Monthly Payment ($)]]&gt;50, "Unusual","OK")</f>
        <v>OK</v>
      </c>
    </row>
    <row r="285" spans="1:11" x14ac:dyDescent="0.35">
      <c r="A285" s="8" t="s">
        <v>293</v>
      </c>
      <c r="B285" t="s">
        <v>387</v>
      </c>
      <c r="C285" s="8" t="s">
        <v>391</v>
      </c>
      <c r="D285" s="8" t="s">
        <v>395</v>
      </c>
      <c r="E285" s="8" t="s">
        <v>400</v>
      </c>
      <c r="F285" s="10" t="s">
        <v>406</v>
      </c>
      <c r="G285" s="12">
        <v>20</v>
      </c>
      <c r="H285" s="16">
        <v>12</v>
      </c>
      <c r="I285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85" t="str">
        <f>IF(COUNTIF(Table2[Student ID],Table2[[#This Row],[Student ID]])&gt;1,"Duplicate","OK")</f>
        <v>OK</v>
      </c>
      <c r="K285" t="str">
        <f>IF(Table2[[#This Row],[Monthly Payment ($)]]&gt;50, "Unusual","OK")</f>
        <v>OK</v>
      </c>
    </row>
    <row r="286" spans="1:11" x14ac:dyDescent="0.35">
      <c r="A286" s="8" t="s">
        <v>294</v>
      </c>
      <c r="B286" t="s">
        <v>387</v>
      </c>
      <c r="C286" s="8" t="s">
        <v>391</v>
      </c>
      <c r="D286" s="8" t="s">
        <v>395</v>
      </c>
      <c r="E286" s="8" t="s">
        <v>400</v>
      </c>
      <c r="F286" s="10" t="s">
        <v>402</v>
      </c>
      <c r="G286" s="12">
        <v>20</v>
      </c>
      <c r="H286" s="16">
        <v>9</v>
      </c>
      <c r="I286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86" t="str">
        <f>IF(COUNTIF(Table2[Student ID],Table2[[#This Row],[Student ID]])&gt;1,"Duplicate","OK")</f>
        <v>OK</v>
      </c>
      <c r="K286" t="str">
        <f>IF(Table2[[#This Row],[Monthly Payment ($)]]&gt;50, "Unusual","OK")</f>
        <v>OK</v>
      </c>
    </row>
    <row r="287" spans="1:11" x14ac:dyDescent="0.35">
      <c r="A287" s="8" t="s">
        <v>295</v>
      </c>
      <c r="B287" t="s">
        <v>386</v>
      </c>
      <c r="C287" s="8" t="s">
        <v>393</v>
      </c>
      <c r="D287" s="8" t="s">
        <v>395</v>
      </c>
      <c r="E287" s="8" t="s">
        <v>400</v>
      </c>
      <c r="F287" s="10" t="s">
        <v>405</v>
      </c>
      <c r="G287" s="12">
        <v>20</v>
      </c>
      <c r="H287" s="16">
        <v>4</v>
      </c>
      <c r="I287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87" t="str">
        <f>IF(COUNTIF(Table2[Student ID],Table2[[#This Row],[Student ID]])&gt;1,"Duplicate","OK")</f>
        <v>OK</v>
      </c>
      <c r="K287" t="str">
        <f>IF(Table2[[#This Row],[Monthly Payment ($)]]&gt;50, "Unusual","OK")</f>
        <v>OK</v>
      </c>
    </row>
    <row r="288" spans="1:11" x14ac:dyDescent="0.35">
      <c r="A288" s="8" t="s">
        <v>296</v>
      </c>
      <c r="B288" t="s">
        <v>386</v>
      </c>
      <c r="C288" s="8" t="s">
        <v>390</v>
      </c>
      <c r="D288" s="8" t="s">
        <v>395</v>
      </c>
      <c r="E288" s="8" t="s">
        <v>398</v>
      </c>
      <c r="F288" s="10" t="s">
        <v>406</v>
      </c>
      <c r="G288" s="12">
        <v>20</v>
      </c>
      <c r="H288" s="16">
        <v>16</v>
      </c>
      <c r="I288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88" t="str">
        <f>IF(COUNTIF(Table2[Student ID],Table2[[#This Row],[Student ID]])&gt;1,"Duplicate","OK")</f>
        <v>OK</v>
      </c>
      <c r="K288" t="str">
        <f>IF(Table2[[#This Row],[Monthly Payment ($)]]&gt;50, "Unusual","OK")</f>
        <v>OK</v>
      </c>
    </row>
    <row r="289" spans="1:11" x14ac:dyDescent="0.35">
      <c r="A289" s="8" t="s">
        <v>297</v>
      </c>
      <c r="B289" t="s">
        <v>385</v>
      </c>
      <c r="C289" s="8" t="s">
        <v>390</v>
      </c>
      <c r="D289" s="8" t="s">
        <v>396</v>
      </c>
      <c r="E289" s="8" t="s">
        <v>398</v>
      </c>
      <c r="F289" s="10" t="s">
        <v>403</v>
      </c>
      <c r="G289" s="12">
        <v>50</v>
      </c>
      <c r="H289" s="16">
        <v>10</v>
      </c>
      <c r="I289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89" t="str">
        <f>IF(COUNTIF(Table2[Student ID],Table2[[#This Row],[Student ID]])&gt;1,"Duplicate","OK")</f>
        <v>OK</v>
      </c>
      <c r="K289" t="str">
        <f>IF(Table2[[#This Row],[Monthly Payment ($)]]&gt;50, "Unusual","OK")</f>
        <v>OK</v>
      </c>
    </row>
    <row r="290" spans="1:11" x14ac:dyDescent="0.35">
      <c r="A290" s="8" t="s">
        <v>298</v>
      </c>
      <c r="B290" t="s">
        <v>388</v>
      </c>
      <c r="C290" s="8" t="s">
        <v>394</v>
      </c>
      <c r="D290" s="8" t="s">
        <v>396</v>
      </c>
      <c r="E290" s="8" t="s">
        <v>399</v>
      </c>
      <c r="F290" s="10" t="s">
        <v>403</v>
      </c>
      <c r="G290" s="12">
        <v>50</v>
      </c>
      <c r="H290" s="16">
        <v>6</v>
      </c>
      <c r="I290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90" t="str">
        <f>IF(COUNTIF(Table2[Student ID],Table2[[#This Row],[Student ID]])&gt;1,"Duplicate","OK")</f>
        <v>OK</v>
      </c>
      <c r="K290" t="str">
        <f>IF(Table2[[#This Row],[Monthly Payment ($)]]&gt;50, "Unusual","OK")</f>
        <v>OK</v>
      </c>
    </row>
    <row r="291" spans="1:11" x14ac:dyDescent="0.35">
      <c r="A291" s="8" t="s">
        <v>299</v>
      </c>
      <c r="B291" t="s">
        <v>385</v>
      </c>
      <c r="C291" s="8" t="s">
        <v>391</v>
      </c>
      <c r="D291" s="8" t="s">
        <v>395</v>
      </c>
      <c r="E291" s="8" t="s">
        <v>400</v>
      </c>
      <c r="F291" s="10" t="s">
        <v>403</v>
      </c>
      <c r="G291" s="12">
        <v>20</v>
      </c>
      <c r="H291" s="16">
        <v>6</v>
      </c>
      <c r="I291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91" t="str">
        <f>IF(COUNTIF(Table2[Student ID],Table2[[#This Row],[Student ID]])&gt;1,"Duplicate","OK")</f>
        <v>OK</v>
      </c>
      <c r="K291" t="str">
        <f>IF(Table2[[#This Row],[Monthly Payment ($)]]&gt;50, "Unusual","OK")</f>
        <v>OK</v>
      </c>
    </row>
    <row r="292" spans="1:11" x14ac:dyDescent="0.35">
      <c r="A292" s="8" t="s">
        <v>300</v>
      </c>
      <c r="B292" t="s">
        <v>388</v>
      </c>
      <c r="C292" s="8" t="s">
        <v>394</v>
      </c>
      <c r="D292" s="8" t="s">
        <v>397</v>
      </c>
      <c r="E292" s="8" t="s">
        <v>401</v>
      </c>
      <c r="F292" s="10" t="s">
        <v>405</v>
      </c>
      <c r="G292" s="12">
        <v>0</v>
      </c>
      <c r="H292" s="16">
        <v>11</v>
      </c>
      <c r="I292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92" t="str">
        <f>IF(COUNTIF(Table2[Student ID],Table2[[#This Row],[Student ID]])&gt;1,"Duplicate","OK")</f>
        <v>OK</v>
      </c>
      <c r="K292" t="str">
        <f>IF(Table2[[#This Row],[Monthly Payment ($)]]&gt;50, "Unusual","OK")</f>
        <v>OK</v>
      </c>
    </row>
    <row r="293" spans="1:11" x14ac:dyDescent="0.35">
      <c r="A293" s="8" t="s">
        <v>301</v>
      </c>
      <c r="B293" t="s">
        <v>389</v>
      </c>
      <c r="C293" s="8" t="s">
        <v>393</v>
      </c>
      <c r="D293" s="8" t="s">
        <v>397</v>
      </c>
      <c r="E293" s="8" t="s">
        <v>400</v>
      </c>
      <c r="F293" s="10" t="s">
        <v>402</v>
      </c>
      <c r="G293" s="12">
        <v>0</v>
      </c>
      <c r="H293" s="16">
        <v>14</v>
      </c>
      <c r="I293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93" t="str">
        <f>IF(COUNTIF(Table2[Student ID],Table2[[#This Row],[Student ID]])&gt;1,"Duplicate","OK")</f>
        <v>OK</v>
      </c>
      <c r="K293" t="str">
        <f>IF(Table2[[#This Row],[Monthly Payment ($)]]&gt;50, "Unusual","OK")</f>
        <v>OK</v>
      </c>
    </row>
    <row r="294" spans="1:11" x14ac:dyDescent="0.35">
      <c r="A294" s="8" t="s">
        <v>302</v>
      </c>
      <c r="B294" t="s">
        <v>389</v>
      </c>
      <c r="C294" s="8" t="s">
        <v>393</v>
      </c>
      <c r="D294" s="8" t="s">
        <v>397</v>
      </c>
      <c r="E294" s="8" t="s">
        <v>398</v>
      </c>
      <c r="F294" s="10" t="s">
        <v>406</v>
      </c>
      <c r="G294" s="12">
        <v>0</v>
      </c>
      <c r="H294" s="16">
        <v>1</v>
      </c>
      <c r="I294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94" t="str">
        <f>IF(COUNTIF(Table2[Student ID],Table2[[#This Row],[Student ID]])&gt;1,"Duplicate","OK")</f>
        <v>OK</v>
      </c>
      <c r="K294" t="str">
        <f>IF(Table2[[#This Row],[Monthly Payment ($)]]&gt;50, "Unusual","OK")</f>
        <v>OK</v>
      </c>
    </row>
    <row r="295" spans="1:11" x14ac:dyDescent="0.35">
      <c r="A295" s="8" t="s">
        <v>303</v>
      </c>
      <c r="B295" t="s">
        <v>387</v>
      </c>
      <c r="C295" s="8" t="s">
        <v>391</v>
      </c>
      <c r="D295" s="8" t="s">
        <v>397</v>
      </c>
      <c r="E295" s="8" t="s">
        <v>401</v>
      </c>
      <c r="F295" s="10" t="s">
        <v>403</v>
      </c>
      <c r="G295" s="12">
        <v>0</v>
      </c>
      <c r="H295" s="16">
        <v>16</v>
      </c>
      <c r="I295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95" t="str">
        <f>IF(COUNTIF(Table2[Student ID],Table2[[#This Row],[Student ID]])&gt;1,"Duplicate","OK")</f>
        <v>OK</v>
      </c>
      <c r="K295" t="str">
        <f>IF(Table2[[#This Row],[Monthly Payment ($)]]&gt;50, "Unusual","OK")</f>
        <v>OK</v>
      </c>
    </row>
    <row r="296" spans="1:11" x14ac:dyDescent="0.35">
      <c r="A296" s="8" t="s">
        <v>304</v>
      </c>
      <c r="B296" t="s">
        <v>386</v>
      </c>
      <c r="C296" s="8" t="s">
        <v>393</v>
      </c>
      <c r="D296" s="8" t="s">
        <v>396</v>
      </c>
      <c r="E296" s="8" t="s">
        <v>399</v>
      </c>
      <c r="F296" s="10" t="s">
        <v>405</v>
      </c>
      <c r="G296" s="12">
        <v>50</v>
      </c>
      <c r="H296" s="16">
        <v>7</v>
      </c>
      <c r="I296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96" t="str">
        <f>IF(COUNTIF(Table2[Student ID],Table2[[#This Row],[Student ID]])&gt;1,"Duplicate","OK")</f>
        <v>OK</v>
      </c>
      <c r="K296" t="str">
        <f>IF(Table2[[#This Row],[Monthly Payment ($)]]&gt;50, "Unusual","OK")</f>
        <v>OK</v>
      </c>
    </row>
    <row r="297" spans="1:11" x14ac:dyDescent="0.35">
      <c r="A297" s="8" t="s">
        <v>305</v>
      </c>
      <c r="B297" t="s">
        <v>387</v>
      </c>
      <c r="C297" s="8" t="s">
        <v>392</v>
      </c>
      <c r="D297" s="8" t="s">
        <v>395</v>
      </c>
      <c r="E297" s="8" t="s">
        <v>399</v>
      </c>
      <c r="F297" s="10" t="s">
        <v>405</v>
      </c>
      <c r="G297" s="12">
        <v>20</v>
      </c>
      <c r="H297" s="16">
        <v>14</v>
      </c>
      <c r="I297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97" t="str">
        <f>IF(COUNTIF(Table2[Student ID],Table2[[#This Row],[Student ID]])&gt;1,"Duplicate","OK")</f>
        <v>OK</v>
      </c>
      <c r="K297" t="str">
        <f>IF(Table2[[#This Row],[Monthly Payment ($)]]&gt;50, "Unusual","OK")</f>
        <v>OK</v>
      </c>
    </row>
    <row r="298" spans="1:11" x14ac:dyDescent="0.35">
      <c r="A298" s="8" t="s">
        <v>306</v>
      </c>
      <c r="B298" t="s">
        <v>386</v>
      </c>
      <c r="C298" s="8" t="s">
        <v>390</v>
      </c>
      <c r="D298" s="8" t="s">
        <v>397</v>
      </c>
      <c r="E298" s="8" t="s">
        <v>399</v>
      </c>
      <c r="F298" s="10" t="s">
        <v>406</v>
      </c>
      <c r="G298" s="12">
        <v>0</v>
      </c>
      <c r="H298" s="16">
        <v>13</v>
      </c>
      <c r="I298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98" t="str">
        <f>IF(COUNTIF(Table2[Student ID],Table2[[#This Row],[Student ID]])&gt;1,"Duplicate","OK")</f>
        <v>OK</v>
      </c>
      <c r="K298" t="str">
        <f>IF(Table2[[#This Row],[Monthly Payment ($)]]&gt;50, "Unusual","OK")</f>
        <v>OK</v>
      </c>
    </row>
    <row r="299" spans="1:11" x14ac:dyDescent="0.35">
      <c r="A299" s="8" t="s">
        <v>307</v>
      </c>
      <c r="B299" t="s">
        <v>387</v>
      </c>
      <c r="C299" s="8" t="s">
        <v>394</v>
      </c>
      <c r="D299" s="8" t="s">
        <v>396</v>
      </c>
      <c r="E299" s="8" t="s">
        <v>399</v>
      </c>
      <c r="F299" s="10" t="s">
        <v>406</v>
      </c>
      <c r="G299" s="12">
        <v>50</v>
      </c>
      <c r="H299" s="16">
        <v>18</v>
      </c>
      <c r="I299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299" t="str">
        <f>IF(COUNTIF(Table2[Student ID],Table2[[#This Row],[Student ID]])&gt;1,"Duplicate","OK")</f>
        <v>OK</v>
      </c>
      <c r="K299" t="str">
        <f>IF(Table2[[#This Row],[Monthly Payment ($)]]&gt;50, "Unusual","OK")</f>
        <v>OK</v>
      </c>
    </row>
    <row r="300" spans="1:11" x14ac:dyDescent="0.35">
      <c r="A300" s="8" t="s">
        <v>308</v>
      </c>
      <c r="B300" t="s">
        <v>387</v>
      </c>
      <c r="C300" s="8" t="s">
        <v>392</v>
      </c>
      <c r="D300" s="8" t="s">
        <v>395</v>
      </c>
      <c r="E300" s="8" t="s">
        <v>401</v>
      </c>
      <c r="F300" s="10" t="s">
        <v>403</v>
      </c>
      <c r="G300" s="12">
        <v>20</v>
      </c>
      <c r="H300" s="16">
        <v>10</v>
      </c>
      <c r="I300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00" t="str">
        <f>IF(COUNTIF(Table2[Student ID],Table2[[#This Row],[Student ID]])&gt;1,"Duplicate","OK")</f>
        <v>OK</v>
      </c>
      <c r="K300" t="str">
        <f>IF(Table2[[#This Row],[Monthly Payment ($)]]&gt;50, "Unusual","OK")</f>
        <v>OK</v>
      </c>
    </row>
    <row r="301" spans="1:11" x14ac:dyDescent="0.35">
      <c r="A301" s="8" t="s">
        <v>309</v>
      </c>
      <c r="B301" t="s">
        <v>385</v>
      </c>
      <c r="C301" s="8" t="s">
        <v>391</v>
      </c>
      <c r="D301" s="8" t="s">
        <v>395</v>
      </c>
      <c r="E301" s="8" t="s">
        <v>401</v>
      </c>
      <c r="F301" s="10" t="s">
        <v>404</v>
      </c>
      <c r="G301" s="12">
        <v>20</v>
      </c>
      <c r="H301" s="16">
        <v>17</v>
      </c>
      <c r="I301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01" t="str">
        <f>IF(COUNTIF(Table2[Student ID],Table2[[#This Row],[Student ID]])&gt;1,"Duplicate","OK")</f>
        <v>OK</v>
      </c>
      <c r="K301" t="str">
        <f>IF(Table2[[#This Row],[Monthly Payment ($)]]&gt;50, "Unusual","OK")</f>
        <v>OK</v>
      </c>
    </row>
    <row r="302" spans="1:11" x14ac:dyDescent="0.35">
      <c r="A302" s="8" t="s">
        <v>310</v>
      </c>
      <c r="B302" t="s">
        <v>388</v>
      </c>
      <c r="C302" s="8" t="s">
        <v>390</v>
      </c>
      <c r="D302" s="8" t="s">
        <v>395</v>
      </c>
      <c r="E302" s="8" t="s">
        <v>398</v>
      </c>
      <c r="F302" s="10" t="s">
        <v>404</v>
      </c>
      <c r="G302" s="12">
        <v>20</v>
      </c>
      <c r="H302" s="16">
        <v>20</v>
      </c>
      <c r="I302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02" t="str">
        <f>IF(COUNTIF(Table2[Student ID],Table2[[#This Row],[Student ID]])&gt;1,"Duplicate","OK")</f>
        <v>OK</v>
      </c>
      <c r="K302" t="str">
        <f>IF(Table2[[#This Row],[Monthly Payment ($)]]&gt;50, "Unusual","OK")</f>
        <v>OK</v>
      </c>
    </row>
    <row r="303" spans="1:11" x14ac:dyDescent="0.35">
      <c r="A303" s="8" t="s">
        <v>311</v>
      </c>
      <c r="B303" t="s">
        <v>386</v>
      </c>
      <c r="C303" s="8" t="s">
        <v>391</v>
      </c>
      <c r="D303" s="8" t="s">
        <v>396</v>
      </c>
      <c r="E303" s="8" t="s">
        <v>398</v>
      </c>
      <c r="F303" s="10" t="s">
        <v>406</v>
      </c>
      <c r="G303" s="12">
        <v>50</v>
      </c>
      <c r="H303" s="16">
        <v>4</v>
      </c>
      <c r="I303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03" t="str">
        <f>IF(COUNTIF(Table2[Student ID],Table2[[#This Row],[Student ID]])&gt;1,"Duplicate","OK")</f>
        <v>OK</v>
      </c>
      <c r="K303" t="str">
        <f>IF(Table2[[#This Row],[Monthly Payment ($)]]&gt;50, "Unusual","OK")</f>
        <v>OK</v>
      </c>
    </row>
    <row r="304" spans="1:11" x14ac:dyDescent="0.35">
      <c r="A304" s="8" t="s">
        <v>312</v>
      </c>
      <c r="B304" t="s">
        <v>389</v>
      </c>
      <c r="C304" s="8" t="s">
        <v>392</v>
      </c>
      <c r="D304" s="8" t="s">
        <v>396</v>
      </c>
      <c r="E304" s="8" t="s">
        <v>398</v>
      </c>
      <c r="F304" s="10" t="s">
        <v>404</v>
      </c>
      <c r="G304" s="12">
        <v>50</v>
      </c>
      <c r="H304" s="16">
        <v>18</v>
      </c>
      <c r="I304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04" t="str">
        <f>IF(COUNTIF(Table2[Student ID],Table2[[#This Row],[Student ID]])&gt;1,"Duplicate","OK")</f>
        <v>OK</v>
      </c>
      <c r="K304" t="str">
        <f>IF(Table2[[#This Row],[Monthly Payment ($)]]&gt;50, "Unusual","OK")</f>
        <v>OK</v>
      </c>
    </row>
    <row r="305" spans="1:11" x14ac:dyDescent="0.35">
      <c r="A305" s="8" t="s">
        <v>313</v>
      </c>
      <c r="B305" t="s">
        <v>388</v>
      </c>
      <c r="C305" s="8" t="s">
        <v>393</v>
      </c>
      <c r="D305" s="8" t="s">
        <v>396</v>
      </c>
      <c r="E305" s="8" t="s">
        <v>400</v>
      </c>
      <c r="F305" s="10" t="s">
        <v>405</v>
      </c>
      <c r="G305" s="12">
        <v>50</v>
      </c>
      <c r="H305" s="16">
        <v>11</v>
      </c>
      <c r="I305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05" t="str">
        <f>IF(COUNTIF(Table2[Student ID],Table2[[#This Row],[Student ID]])&gt;1,"Duplicate","OK")</f>
        <v>OK</v>
      </c>
      <c r="K305" t="str">
        <f>IF(Table2[[#This Row],[Monthly Payment ($)]]&gt;50, "Unusual","OK")</f>
        <v>OK</v>
      </c>
    </row>
    <row r="306" spans="1:11" x14ac:dyDescent="0.35">
      <c r="A306" s="8" t="s">
        <v>314</v>
      </c>
      <c r="B306" t="s">
        <v>389</v>
      </c>
      <c r="C306" s="8" t="s">
        <v>393</v>
      </c>
      <c r="D306" s="8" t="s">
        <v>397</v>
      </c>
      <c r="E306" s="8" t="s">
        <v>401</v>
      </c>
      <c r="F306" s="10" t="s">
        <v>405</v>
      </c>
      <c r="G306" s="12">
        <v>0</v>
      </c>
      <c r="H306" s="16">
        <v>3</v>
      </c>
      <c r="I306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06" t="str">
        <f>IF(COUNTIF(Table2[Student ID],Table2[[#This Row],[Student ID]])&gt;1,"Duplicate","OK")</f>
        <v>OK</v>
      </c>
      <c r="K306" t="str">
        <f>IF(Table2[[#This Row],[Monthly Payment ($)]]&gt;50, "Unusual","OK")</f>
        <v>OK</v>
      </c>
    </row>
    <row r="307" spans="1:11" x14ac:dyDescent="0.35">
      <c r="A307" s="8" t="s">
        <v>315</v>
      </c>
      <c r="B307" t="s">
        <v>388</v>
      </c>
      <c r="C307" s="8" t="s">
        <v>394</v>
      </c>
      <c r="D307" s="8" t="s">
        <v>395</v>
      </c>
      <c r="E307" s="8" t="s">
        <v>400</v>
      </c>
      <c r="F307" s="10" t="s">
        <v>403</v>
      </c>
      <c r="G307" s="12">
        <v>20</v>
      </c>
      <c r="H307" s="16">
        <v>20</v>
      </c>
      <c r="I307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07" t="str">
        <f>IF(COUNTIF(Table2[Student ID],Table2[[#This Row],[Student ID]])&gt;1,"Duplicate","OK")</f>
        <v>OK</v>
      </c>
      <c r="K307" t="str">
        <f>IF(Table2[[#This Row],[Monthly Payment ($)]]&gt;50, "Unusual","OK")</f>
        <v>OK</v>
      </c>
    </row>
    <row r="308" spans="1:11" x14ac:dyDescent="0.35">
      <c r="A308" s="8" t="s">
        <v>316</v>
      </c>
      <c r="B308" t="s">
        <v>389</v>
      </c>
      <c r="C308" s="8" t="s">
        <v>392</v>
      </c>
      <c r="D308" s="8" t="s">
        <v>395</v>
      </c>
      <c r="E308" s="8" t="s">
        <v>400</v>
      </c>
      <c r="F308" s="10" t="s">
        <v>406</v>
      </c>
      <c r="G308" s="12">
        <v>20</v>
      </c>
      <c r="H308" s="16">
        <v>10</v>
      </c>
      <c r="I308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08" t="str">
        <f>IF(COUNTIF(Table2[Student ID],Table2[[#This Row],[Student ID]])&gt;1,"Duplicate","OK")</f>
        <v>OK</v>
      </c>
      <c r="K308" t="str">
        <f>IF(Table2[[#This Row],[Monthly Payment ($)]]&gt;50, "Unusual","OK")</f>
        <v>OK</v>
      </c>
    </row>
    <row r="309" spans="1:11" x14ac:dyDescent="0.35">
      <c r="A309" s="8" t="s">
        <v>317</v>
      </c>
      <c r="B309" t="s">
        <v>386</v>
      </c>
      <c r="C309" s="8" t="s">
        <v>393</v>
      </c>
      <c r="D309" s="8" t="s">
        <v>396</v>
      </c>
      <c r="E309" s="8" t="s">
        <v>400</v>
      </c>
      <c r="F309" s="10" t="s">
        <v>402</v>
      </c>
      <c r="G309" s="12">
        <v>50</v>
      </c>
      <c r="H309" s="16">
        <v>13</v>
      </c>
      <c r="I309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09" t="str">
        <f>IF(COUNTIF(Table2[Student ID],Table2[[#This Row],[Student ID]])&gt;1,"Duplicate","OK")</f>
        <v>OK</v>
      </c>
      <c r="K309" t="str">
        <f>IF(Table2[[#This Row],[Monthly Payment ($)]]&gt;50, "Unusual","OK")</f>
        <v>OK</v>
      </c>
    </row>
    <row r="310" spans="1:11" x14ac:dyDescent="0.35">
      <c r="A310" s="8" t="s">
        <v>318</v>
      </c>
      <c r="B310" t="s">
        <v>385</v>
      </c>
      <c r="C310" s="8" t="s">
        <v>394</v>
      </c>
      <c r="D310" s="8" t="s">
        <v>395</v>
      </c>
      <c r="E310" s="8" t="s">
        <v>400</v>
      </c>
      <c r="F310" s="10" t="s">
        <v>406</v>
      </c>
      <c r="G310" s="12">
        <v>20</v>
      </c>
      <c r="H310" s="16">
        <v>6</v>
      </c>
      <c r="I310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10" t="str">
        <f>IF(COUNTIF(Table2[Student ID],Table2[[#This Row],[Student ID]])&gt;1,"Duplicate","OK")</f>
        <v>OK</v>
      </c>
      <c r="K310" t="str">
        <f>IF(Table2[[#This Row],[Monthly Payment ($)]]&gt;50, "Unusual","OK")</f>
        <v>OK</v>
      </c>
    </row>
    <row r="311" spans="1:11" x14ac:dyDescent="0.35">
      <c r="A311" s="8" t="s">
        <v>319</v>
      </c>
      <c r="B311" t="s">
        <v>389</v>
      </c>
      <c r="C311" s="8" t="s">
        <v>393</v>
      </c>
      <c r="D311" s="8" t="s">
        <v>396</v>
      </c>
      <c r="E311" s="8" t="s">
        <v>400</v>
      </c>
      <c r="F311" s="10" t="s">
        <v>403</v>
      </c>
      <c r="G311" s="12">
        <v>50</v>
      </c>
      <c r="H311" s="16">
        <v>14</v>
      </c>
      <c r="I311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11" t="str">
        <f>IF(COUNTIF(Table2[Student ID],Table2[[#This Row],[Student ID]])&gt;1,"Duplicate","OK")</f>
        <v>OK</v>
      </c>
      <c r="K311" t="str">
        <f>IF(Table2[[#This Row],[Monthly Payment ($)]]&gt;50, "Unusual","OK")</f>
        <v>OK</v>
      </c>
    </row>
    <row r="312" spans="1:11" x14ac:dyDescent="0.35">
      <c r="A312" s="8" t="s">
        <v>320</v>
      </c>
      <c r="B312" t="s">
        <v>385</v>
      </c>
      <c r="C312" s="8" t="s">
        <v>394</v>
      </c>
      <c r="D312" s="8" t="s">
        <v>396</v>
      </c>
      <c r="E312" s="8" t="s">
        <v>398</v>
      </c>
      <c r="F312" s="10" t="s">
        <v>404</v>
      </c>
      <c r="G312" s="12">
        <v>50</v>
      </c>
      <c r="H312" s="16">
        <v>4</v>
      </c>
      <c r="I312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12" t="str">
        <f>IF(COUNTIF(Table2[Student ID],Table2[[#This Row],[Student ID]])&gt;1,"Duplicate","OK")</f>
        <v>OK</v>
      </c>
      <c r="K312" t="str">
        <f>IF(Table2[[#This Row],[Monthly Payment ($)]]&gt;50, "Unusual","OK")</f>
        <v>OK</v>
      </c>
    </row>
    <row r="313" spans="1:11" x14ac:dyDescent="0.35">
      <c r="A313" s="8" t="s">
        <v>321</v>
      </c>
      <c r="B313" t="s">
        <v>387</v>
      </c>
      <c r="C313" s="8" t="s">
        <v>391</v>
      </c>
      <c r="D313" s="8" t="s">
        <v>396</v>
      </c>
      <c r="E313" s="8" t="s">
        <v>398</v>
      </c>
      <c r="F313" s="10" t="s">
        <v>406</v>
      </c>
      <c r="G313" s="12">
        <v>50</v>
      </c>
      <c r="H313" s="16">
        <v>8</v>
      </c>
      <c r="I313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13" t="str">
        <f>IF(COUNTIF(Table2[Student ID],Table2[[#This Row],[Student ID]])&gt;1,"Duplicate","OK")</f>
        <v>OK</v>
      </c>
      <c r="K313" t="str">
        <f>IF(Table2[[#This Row],[Monthly Payment ($)]]&gt;50, "Unusual","OK")</f>
        <v>OK</v>
      </c>
    </row>
    <row r="314" spans="1:11" x14ac:dyDescent="0.35">
      <c r="A314" s="8" t="s">
        <v>322</v>
      </c>
      <c r="B314" t="s">
        <v>386</v>
      </c>
      <c r="C314" s="8" t="s">
        <v>391</v>
      </c>
      <c r="D314" s="8" t="s">
        <v>397</v>
      </c>
      <c r="E314" s="8" t="s">
        <v>398</v>
      </c>
      <c r="F314" s="10" t="s">
        <v>406</v>
      </c>
      <c r="G314" s="12">
        <v>0</v>
      </c>
      <c r="H314" s="16">
        <v>17</v>
      </c>
      <c r="I314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14" t="str">
        <f>IF(COUNTIF(Table2[Student ID],Table2[[#This Row],[Student ID]])&gt;1,"Duplicate","OK")</f>
        <v>OK</v>
      </c>
      <c r="K314" t="str">
        <f>IF(Table2[[#This Row],[Monthly Payment ($)]]&gt;50, "Unusual","OK")</f>
        <v>OK</v>
      </c>
    </row>
    <row r="315" spans="1:11" x14ac:dyDescent="0.35">
      <c r="A315" s="8" t="s">
        <v>323</v>
      </c>
      <c r="B315" t="s">
        <v>389</v>
      </c>
      <c r="C315" s="8" t="s">
        <v>394</v>
      </c>
      <c r="D315" s="8" t="s">
        <v>395</v>
      </c>
      <c r="E315" s="8" t="s">
        <v>400</v>
      </c>
      <c r="F315" s="10" t="s">
        <v>405</v>
      </c>
      <c r="G315" s="12">
        <v>20</v>
      </c>
      <c r="H315" s="16">
        <v>4</v>
      </c>
      <c r="I315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15" t="str">
        <f>IF(COUNTIF(Table2[Student ID],Table2[[#This Row],[Student ID]])&gt;1,"Duplicate","OK")</f>
        <v>OK</v>
      </c>
      <c r="K315" t="str">
        <f>IF(Table2[[#This Row],[Monthly Payment ($)]]&gt;50, "Unusual","OK")</f>
        <v>OK</v>
      </c>
    </row>
    <row r="316" spans="1:11" x14ac:dyDescent="0.35">
      <c r="A316" s="8" t="s">
        <v>324</v>
      </c>
      <c r="B316" t="s">
        <v>389</v>
      </c>
      <c r="C316" s="8" t="s">
        <v>393</v>
      </c>
      <c r="D316" s="8" t="s">
        <v>395</v>
      </c>
      <c r="E316" s="8" t="s">
        <v>398</v>
      </c>
      <c r="F316" s="10" t="s">
        <v>405</v>
      </c>
      <c r="G316" s="12">
        <v>20</v>
      </c>
      <c r="H316" s="16">
        <v>18</v>
      </c>
      <c r="I316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16" t="str">
        <f>IF(COUNTIF(Table2[Student ID],Table2[[#This Row],[Student ID]])&gt;1,"Duplicate","OK")</f>
        <v>OK</v>
      </c>
      <c r="K316" t="str">
        <f>IF(Table2[[#This Row],[Monthly Payment ($)]]&gt;50, "Unusual","OK")</f>
        <v>OK</v>
      </c>
    </row>
    <row r="317" spans="1:11" x14ac:dyDescent="0.35">
      <c r="A317" s="8" t="s">
        <v>325</v>
      </c>
      <c r="B317" t="s">
        <v>385</v>
      </c>
      <c r="C317" s="8" t="s">
        <v>394</v>
      </c>
      <c r="D317" s="8" t="s">
        <v>397</v>
      </c>
      <c r="E317" s="8" t="s">
        <v>400</v>
      </c>
      <c r="F317" s="10" t="s">
        <v>405</v>
      </c>
      <c r="G317" s="12">
        <v>0</v>
      </c>
      <c r="H317" s="16">
        <v>13</v>
      </c>
      <c r="I317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17" t="str">
        <f>IF(COUNTIF(Table2[Student ID],Table2[[#This Row],[Student ID]])&gt;1,"Duplicate","OK")</f>
        <v>OK</v>
      </c>
      <c r="K317" t="str">
        <f>IF(Table2[[#This Row],[Monthly Payment ($)]]&gt;50, "Unusual","OK")</f>
        <v>OK</v>
      </c>
    </row>
    <row r="318" spans="1:11" x14ac:dyDescent="0.35">
      <c r="A318" s="8" t="s">
        <v>326</v>
      </c>
      <c r="B318" t="s">
        <v>386</v>
      </c>
      <c r="C318" s="8" t="s">
        <v>391</v>
      </c>
      <c r="D318" s="8" t="s">
        <v>397</v>
      </c>
      <c r="E318" s="8" t="s">
        <v>399</v>
      </c>
      <c r="F318" s="10" t="s">
        <v>406</v>
      </c>
      <c r="G318" s="12">
        <v>0</v>
      </c>
      <c r="H318" s="16">
        <v>15</v>
      </c>
      <c r="I318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18" t="str">
        <f>IF(COUNTIF(Table2[Student ID],Table2[[#This Row],[Student ID]])&gt;1,"Duplicate","OK")</f>
        <v>OK</v>
      </c>
      <c r="K318" t="str">
        <f>IF(Table2[[#This Row],[Monthly Payment ($)]]&gt;50, "Unusual","OK")</f>
        <v>OK</v>
      </c>
    </row>
    <row r="319" spans="1:11" x14ac:dyDescent="0.35">
      <c r="A319" s="8" t="s">
        <v>327</v>
      </c>
      <c r="B319" t="s">
        <v>388</v>
      </c>
      <c r="C319" s="8" t="s">
        <v>394</v>
      </c>
      <c r="D319" s="8" t="s">
        <v>396</v>
      </c>
      <c r="E319" s="8" t="s">
        <v>399</v>
      </c>
      <c r="F319" s="10" t="s">
        <v>405</v>
      </c>
      <c r="G319" s="12">
        <v>50</v>
      </c>
      <c r="H319" s="16">
        <v>13</v>
      </c>
      <c r="I319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19" t="str">
        <f>IF(COUNTIF(Table2[Student ID],Table2[[#This Row],[Student ID]])&gt;1,"Duplicate","OK")</f>
        <v>OK</v>
      </c>
      <c r="K319" t="str">
        <f>IF(Table2[[#This Row],[Monthly Payment ($)]]&gt;50, "Unusual","OK")</f>
        <v>OK</v>
      </c>
    </row>
    <row r="320" spans="1:11" x14ac:dyDescent="0.35">
      <c r="A320" s="8" t="s">
        <v>328</v>
      </c>
      <c r="B320" t="s">
        <v>388</v>
      </c>
      <c r="C320" s="8" t="s">
        <v>392</v>
      </c>
      <c r="D320" s="8" t="s">
        <v>395</v>
      </c>
      <c r="E320" s="8" t="s">
        <v>400</v>
      </c>
      <c r="F320" s="10" t="s">
        <v>405</v>
      </c>
      <c r="G320" s="12">
        <v>20</v>
      </c>
      <c r="H320" s="16">
        <v>8</v>
      </c>
      <c r="I320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20" t="str">
        <f>IF(COUNTIF(Table2[Student ID],Table2[[#This Row],[Student ID]])&gt;1,"Duplicate","OK")</f>
        <v>OK</v>
      </c>
      <c r="K320" t="str">
        <f>IF(Table2[[#This Row],[Monthly Payment ($)]]&gt;50, "Unusual","OK")</f>
        <v>OK</v>
      </c>
    </row>
    <row r="321" spans="1:11" x14ac:dyDescent="0.35">
      <c r="A321" s="8" t="s">
        <v>329</v>
      </c>
      <c r="B321" t="s">
        <v>387</v>
      </c>
      <c r="C321" s="8" t="s">
        <v>393</v>
      </c>
      <c r="D321" s="8" t="s">
        <v>397</v>
      </c>
      <c r="E321" s="8" t="s">
        <v>401</v>
      </c>
      <c r="F321" s="10" t="s">
        <v>402</v>
      </c>
      <c r="G321" s="12">
        <v>0</v>
      </c>
      <c r="H321" s="16">
        <v>20</v>
      </c>
      <c r="I321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21" t="str">
        <f>IF(COUNTIF(Table2[Student ID],Table2[[#This Row],[Student ID]])&gt;1,"Duplicate","OK")</f>
        <v>OK</v>
      </c>
      <c r="K321" t="str">
        <f>IF(Table2[[#This Row],[Monthly Payment ($)]]&gt;50, "Unusual","OK")</f>
        <v>OK</v>
      </c>
    </row>
    <row r="322" spans="1:11" x14ac:dyDescent="0.35">
      <c r="A322" s="8" t="s">
        <v>330</v>
      </c>
      <c r="B322" t="s">
        <v>385</v>
      </c>
      <c r="C322" s="8" t="s">
        <v>390</v>
      </c>
      <c r="D322" s="8" t="s">
        <v>395</v>
      </c>
      <c r="E322" s="8" t="s">
        <v>398</v>
      </c>
      <c r="F322" s="10" t="s">
        <v>405</v>
      </c>
      <c r="G322" s="12">
        <v>20</v>
      </c>
      <c r="H322" s="16">
        <v>17</v>
      </c>
      <c r="I322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22" t="str">
        <f>IF(COUNTIF(Table2[Student ID],Table2[[#This Row],[Student ID]])&gt;1,"Duplicate","OK")</f>
        <v>OK</v>
      </c>
      <c r="K322" t="str">
        <f>IF(Table2[[#This Row],[Monthly Payment ($)]]&gt;50, "Unusual","OK")</f>
        <v>OK</v>
      </c>
    </row>
    <row r="323" spans="1:11" x14ac:dyDescent="0.35">
      <c r="A323" s="8" t="s">
        <v>331</v>
      </c>
      <c r="B323" t="s">
        <v>387</v>
      </c>
      <c r="C323" s="8" t="s">
        <v>393</v>
      </c>
      <c r="D323" s="8" t="s">
        <v>397</v>
      </c>
      <c r="E323" s="8" t="s">
        <v>399</v>
      </c>
      <c r="F323" s="10" t="s">
        <v>403</v>
      </c>
      <c r="G323" s="12">
        <v>0</v>
      </c>
      <c r="H323" s="16">
        <v>5</v>
      </c>
      <c r="I323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23" t="str">
        <f>IF(COUNTIF(Table2[Student ID],Table2[[#This Row],[Student ID]])&gt;1,"Duplicate","OK")</f>
        <v>OK</v>
      </c>
      <c r="K323" t="str">
        <f>IF(Table2[[#This Row],[Monthly Payment ($)]]&gt;50, "Unusual","OK")</f>
        <v>OK</v>
      </c>
    </row>
    <row r="324" spans="1:11" x14ac:dyDescent="0.35">
      <c r="A324" s="8" t="s">
        <v>332</v>
      </c>
      <c r="B324" t="s">
        <v>386</v>
      </c>
      <c r="C324" s="8" t="s">
        <v>393</v>
      </c>
      <c r="D324" s="8" t="s">
        <v>397</v>
      </c>
      <c r="E324" s="8" t="s">
        <v>398</v>
      </c>
      <c r="F324" s="10" t="s">
        <v>402</v>
      </c>
      <c r="G324" s="12">
        <v>0</v>
      </c>
      <c r="H324" s="16">
        <v>12</v>
      </c>
      <c r="I324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24" t="str">
        <f>IF(COUNTIF(Table2[Student ID],Table2[[#This Row],[Student ID]])&gt;1,"Duplicate","OK")</f>
        <v>OK</v>
      </c>
      <c r="K324" t="str">
        <f>IF(Table2[[#This Row],[Monthly Payment ($)]]&gt;50, "Unusual","OK")</f>
        <v>OK</v>
      </c>
    </row>
    <row r="325" spans="1:11" x14ac:dyDescent="0.35">
      <c r="A325" s="8" t="s">
        <v>333</v>
      </c>
      <c r="B325" t="s">
        <v>389</v>
      </c>
      <c r="C325" s="8" t="s">
        <v>393</v>
      </c>
      <c r="D325" s="8" t="s">
        <v>397</v>
      </c>
      <c r="E325" s="8" t="s">
        <v>401</v>
      </c>
      <c r="F325" s="10" t="s">
        <v>406</v>
      </c>
      <c r="G325" s="12">
        <v>0</v>
      </c>
      <c r="H325" s="16">
        <v>19</v>
      </c>
      <c r="I325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25" t="str">
        <f>IF(COUNTIF(Table2[Student ID],Table2[[#This Row],[Student ID]])&gt;1,"Duplicate","OK")</f>
        <v>OK</v>
      </c>
      <c r="K325" t="str">
        <f>IF(Table2[[#This Row],[Monthly Payment ($)]]&gt;50, "Unusual","OK")</f>
        <v>OK</v>
      </c>
    </row>
    <row r="326" spans="1:11" x14ac:dyDescent="0.35">
      <c r="A326" s="8" t="s">
        <v>334</v>
      </c>
      <c r="B326" t="s">
        <v>385</v>
      </c>
      <c r="C326" s="8" t="s">
        <v>392</v>
      </c>
      <c r="D326" s="8" t="s">
        <v>396</v>
      </c>
      <c r="E326" s="8" t="s">
        <v>398</v>
      </c>
      <c r="F326" s="10" t="s">
        <v>406</v>
      </c>
      <c r="G326" s="12">
        <v>50</v>
      </c>
      <c r="H326" s="16">
        <v>17</v>
      </c>
      <c r="I326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26" t="str">
        <f>IF(COUNTIF(Table2[Student ID],Table2[[#This Row],[Student ID]])&gt;1,"Duplicate","OK")</f>
        <v>OK</v>
      </c>
      <c r="K326" t="str">
        <f>IF(Table2[[#This Row],[Monthly Payment ($)]]&gt;50, "Unusual","OK")</f>
        <v>OK</v>
      </c>
    </row>
    <row r="327" spans="1:11" x14ac:dyDescent="0.35">
      <c r="A327" s="8" t="s">
        <v>335</v>
      </c>
      <c r="B327" t="s">
        <v>388</v>
      </c>
      <c r="C327" s="8" t="s">
        <v>391</v>
      </c>
      <c r="D327" s="8" t="s">
        <v>397</v>
      </c>
      <c r="E327" s="8" t="s">
        <v>401</v>
      </c>
      <c r="F327" s="10" t="s">
        <v>402</v>
      </c>
      <c r="G327" s="12">
        <v>0</v>
      </c>
      <c r="H327" s="16">
        <v>3</v>
      </c>
      <c r="I327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27" t="str">
        <f>IF(COUNTIF(Table2[Student ID],Table2[[#This Row],[Student ID]])&gt;1,"Duplicate","OK")</f>
        <v>OK</v>
      </c>
      <c r="K327" t="str">
        <f>IF(Table2[[#This Row],[Monthly Payment ($)]]&gt;50, "Unusual","OK")</f>
        <v>OK</v>
      </c>
    </row>
    <row r="328" spans="1:11" x14ac:dyDescent="0.35">
      <c r="A328" s="8" t="s">
        <v>336</v>
      </c>
      <c r="B328" t="s">
        <v>389</v>
      </c>
      <c r="C328" s="8" t="s">
        <v>391</v>
      </c>
      <c r="D328" s="8" t="s">
        <v>397</v>
      </c>
      <c r="E328" s="8" t="s">
        <v>401</v>
      </c>
      <c r="F328" s="10" t="s">
        <v>405</v>
      </c>
      <c r="G328" s="12">
        <v>0</v>
      </c>
      <c r="H328" s="16">
        <v>5</v>
      </c>
      <c r="I328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28" t="str">
        <f>IF(COUNTIF(Table2[Student ID],Table2[[#This Row],[Student ID]])&gt;1,"Duplicate","OK")</f>
        <v>OK</v>
      </c>
      <c r="K328" t="str">
        <f>IF(Table2[[#This Row],[Monthly Payment ($)]]&gt;50, "Unusual","OK")</f>
        <v>OK</v>
      </c>
    </row>
    <row r="329" spans="1:11" x14ac:dyDescent="0.35">
      <c r="A329" s="8" t="s">
        <v>337</v>
      </c>
      <c r="B329" t="s">
        <v>388</v>
      </c>
      <c r="C329" s="8" t="s">
        <v>394</v>
      </c>
      <c r="D329" s="8" t="s">
        <v>397</v>
      </c>
      <c r="E329" s="8" t="s">
        <v>398</v>
      </c>
      <c r="F329" s="10" t="s">
        <v>405</v>
      </c>
      <c r="G329" s="12">
        <v>0</v>
      </c>
      <c r="H329" s="16">
        <v>7</v>
      </c>
      <c r="I329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29" t="str">
        <f>IF(COUNTIF(Table2[Student ID],Table2[[#This Row],[Student ID]])&gt;1,"Duplicate","OK")</f>
        <v>OK</v>
      </c>
      <c r="K329" t="str">
        <f>IF(Table2[[#This Row],[Monthly Payment ($)]]&gt;50, "Unusual","OK")</f>
        <v>OK</v>
      </c>
    </row>
    <row r="330" spans="1:11" x14ac:dyDescent="0.35">
      <c r="A330" s="8" t="s">
        <v>338</v>
      </c>
      <c r="B330" t="s">
        <v>387</v>
      </c>
      <c r="C330" s="8" t="s">
        <v>394</v>
      </c>
      <c r="D330" s="8" t="s">
        <v>397</v>
      </c>
      <c r="E330" s="8" t="s">
        <v>399</v>
      </c>
      <c r="F330" s="10" t="s">
        <v>406</v>
      </c>
      <c r="G330" s="12">
        <v>0</v>
      </c>
      <c r="H330" s="16">
        <v>19</v>
      </c>
      <c r="I330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30" t="str">
        <f>IF(COUNTIF(Table2[Student ID],Table2[[#This Row],[Student ID]])&gt;1,"Duplicate","OK")</f>
        <v>OK</v>
      </c>
      <c r="K330" t="str">
        <f>IF(Table2[[#This Row],[Monthly Payment ($)]]&gt;50, "Unusual","OK")</f>
        <v>OK</v>
      </c>
    </row>
    <row r="331" spans="1:11" x14ac:dyDescent="0.35">
      <c r="A331" s="8" t="s">
        <v>339</v>
      </c>
      <c r="B331" t="s">
        <v>387</v>
      </c>
      <c r="C331" s="8" t="s">
        <v>390</v>
      </c>
      <c r="D331" s="8" t="s">
        <v>395</v>
      </c>
      <c r="E331" s="8" t="s">
        <v>400</v>
      </c>
      <c r="F331" s="10" t="s">
        <v>403</v>
      </c>
      <c r="G331" s="12">
        <v>20</v>
      </c>
      <c r="H331" s="16">
        <v>15</v>
      </c>
      <c r="I331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31" t="str">
        <f>IF(COUNTIF(Table2[Student ID],Table2[[#This Row],[Student ID]])&gt;1,"Duplicate","OK")</f>
        <v>OK</v>
      </c>
      <c r="K331" t="str">
        <f>IF(Table2[[#This Row],[Monthly Payment ($)]]&gt;50, "Unusual","OK")</f>
        <v>OK</v>
      </c>
    </row>
    <row r="332" spans="1:11" x14ac:dyDescent="0.35">
      <c r="A332" s="8" t="s">
        <v>340</v>
      </c>
      <c r="B332" t="s">
        <v>386</v>
      </c>
      <c r="C332" s="8" t="s">
        <v>394</v>
      </c>
      <c r="D332" s="8" t="s">
        <v>396</v>
      </c>
      <c r="E332" s="8" t="s">
        <v>400</v>
      </c>
      <c r="F332" s="10" t="s">
        <v>405</v>
      </c>
      <c r="G332" s="12">
        <v>50</v>
      </c>
      <c r="H332" s="16">
        <v>1</v>
      </c>
      <c r="I332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32" t="str">
        <f>IF(COUNTIF(Table2[Student ID],Table2[[#This Row],[Student ID]])&gt;1,"Duplicate","OK")</f>
        <v>OK</v>
      </c>
      <c r="K332" t="str">
        <f>IF(Table2[[#This Row],[Monthly Payment ($)]]&gt;50, "Unusual","OK")</f>
        <v>OK</v>
      </c>
    </row>
    <row r="333" spans="1:11" x14ac:dyDescent="0.35">
      <c r="A333" s="8" t="s">
        <v>341</v>
      </c>
      <c r="B333" t="s">
        <v>387</v>
      </c>
      <c r="C333" s="8" t="s">
        <v>394</v>
      </c>
      <c r="D333" s="8" t="s">
        <v>397</v>
      </c>
      <c r="E333" s="8" t="s">
        <v>400</v>
      </c>
      <c r="F333" s="10" t="s">
        <v>406</v>
      </c>
      <c r="G333" s="12">
        <v>0</v>
      </c>
      <c r="H333" s="16">
        <v>12</v>
      </c>
      <c r="I333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33" t="str">
        <f>IF(COUNTIF(Table2[Student ID],Table2[[#This Row],[Student ID]])&gt;1,"Duplicate","OK")</f>
        <v>OK</v>
      </c>
      <c r="K333" t="str">
        <f>IF(Table2[[#This Row],[Monthly Payment ($)]]&gt;50, "Unusual","OK")</f>
        <v>OK</v>
      </c>
    </row>
    <row r="334" spans="1:11" x14ac:dyDescent="0.35">
      <c r="A334" s="8" t="s">
        <v>342</v>
      </c>
      <c r="B334" t="s">
        <v>389</v>
      </c>
      <c r="C334" s="8" t="s">
        <v>393</v>
      </c>
      <c r="D334" s="8" t="s">
        <v>395</v>
      </c>
      <c r="E334" s="8" t="s">
        <v>399</v>
      </c>
      <c r="F334" s="10" t="s">
        <v>406</v>
      </c>
      <c r="G334" s="12">
        <v>20</v>
      </c>
      <c r="H334" s="16">
        <v>15</v>
      </c>
      <c r="I334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34" t="str">
        <f>IF(COUNTIF(Table2[Student ID],Table2[[#This Row],[Student ID]])&gt;1,"Duplicate","OK")</f>
        <v>OK</v>
      </c>
      <c r="K334" t="str">
        <f>IF(Table2[[#This Row],[Monthly Payment ($)]]&gt;50, "Unusual","OK")</f>
        <v>OK</v>
      </c>
    </row>
    <row r="335" spans="1:11" x14ac:dyDescent="0.35">
      <c r="A335" s="8" t="s">
        <v>343</v>
      </c>
      <c r="B335" t="s">
        <v>386</v>
      </c>
      <c r="C335" s="8" t="s">
        <v>390</v>
      </c>
      <c r="D335" s="8" t="s">
        <v>396</v>
      </c>
      <c r="E335" s="8" t="s">
        <v>398</v>
      </c>
      <c r="F335" s="10" t="s">
        <v>406</v>
      </c>
      <c r="G335" s="12">
        <v>50</v>
      </c>
      <c r="H335" s="16">
        <v>11</v>
      </c>
      <c r="I335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35" t="str">
        <f>IF(COUNTIF(Table2[Student ID],Table2[[#This Row],[Student ID]])&gt;1,"Duplicate","OK")</f>
        <v>OK</v>
      </c>
      <c r="K335" t="str">
        <f>IF(Table2[[#This Row],[Monthly Payment ($)]]&gt;50, "Unusual","OK")</f>
        <v>OK</v>
      </c>
    </row>
    <row r="336" spans="1:11" x14ac:dyDescent="0.35">
      <c r="A336" s="8" t="s">
        <v>344</v>
      </c>
      <c r="B336" t="s">
        <v>388</v>
      </c>
      <c r="C336" s="8" t="s">
        <v>390</v>
      </c>
      <c r="D336" s="8" t="s">
        <v>397</v>
      </c>
      <c r="E336" s="8" t="s">
        <v>401</v>
      </c>
      <c r="F336" s="10" t="s">
        <v>405</v>
      </c>
      <c r="G336" s="12">
        <v>0</v>
      </c>
      <c r="H336" s="16">
        <v>8</v>
      </c>
      <c r="I336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36" t="str">
        <f>IF(COUNTIF(Table2[Student ID],Table2[[#This Row],[Student ID]])&gt;1,"Duplicate","OK")</f>
        <v>OK</v>
      </c>
      <c r="K336" t="str">
        <f>IF(Table2[[#This Row],[Monthly Payment ($)]]&gt;50, "Unusual","OK")</f>
        <v>OK</v>
      </c>
    </row>
    <row r="337" spans="1:11" x14ac:dyDescent="0.35">
      <c r="A337" s="8" t="s">
        <v>345</v>
      </c>
      <c r="B337" t="s">
        <v>386</v>
      </c>
      <c r="C337" s="8" t="s">
        <v>390</v>
      </c>
      <c r="D337" s="8" t="s">
        <v>396</v>
      </c>
      <c r="E337" s="8" t="s">
        <v>398</v>
      </c>
      <c r="F337" s="10" t="s">
        <v>403</v>
      </c>
      <c r="G337" s="12">
        <v>50</v>
      </c>
      <c r="H337" s="16">
        <v>1</v>
      </c>
      <c r="I337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37" t="str">
        <f>IF(COUNTIF(Table2[Student ID],Table2[[#This Row],[Student ID]])&gt;1,"Duplicate","OK")</f>
        <v>OK</v>
      </c>
      <c r="K337" t="str">
        <f>IF(Table2[[#This Row],[Monthly Payment ($)]]&gt;50, "Unusual","OK")</f>
        <v>OK</v>
      </c>
    </row>
    <row r="338" spans="1:11" x14ac:dyDescent="0.35">
      <c r="A338" s="8" t="s">
        <v>346</v>
      </c>
      <c r="B338" t="s">
        <v>387</v>
      </c>
      <c r="C338" s="8" t="s">
        <v>393</v>
      </c>
      <c r="D338" s="8" t="s">
        <v>397</v>
      </c>
      <c r="E338" s="8" t="s">
        <v>399</v>
      </c>
      <c r="F338" s="10" t="s">
        <v>405</v>
      </c>
      <c r="G338" s="12">
        <v>0</v>
      </c>
      <c r="H338" s="16">
        <v>9</v>
      </c>
      <c r="I338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38" t="str">
        <f>IF(COUNTIF(Table2[Student ID],Table2[[#This Row],[Student ID]])&gt;1,"Duplicate","OK")</f>
        <v>OK</v>
      </c>
      <c r="K338" t="str">
        <f>IF(Table2[[#This Row],[Monthly Payment ($)]]&gt;50, "Unusual","OK")</f>
        <v>OK</v>
      </c>
    </row>
    <row r="339" spans="1:11" x14ac:dyDescent="0.35">
      <c r="A339" s="8" t="s">
        <v>347</v>
      </c>
      <c r="B339" t="s">
        <v>387</v>
      </c>
      <c r="C339" s="8" t="s">
        <v>391</v>
      </c>
      <c r="D339" s="8" t="s">
        <v>396</v>
      </c>
      <c r="E339" s="8" t="s">
        <v>401</v>
      </c>
      <c r="F339" s="10" t="s">
        <v>403</v>
      </c>
      <c r="G339" s="12">
        <v>50</v>
      </c>
      <c r="H339" s="16">
        <v>18</v>
      </c>
      <c r="I339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39" t="str">
        <f>IF(COUNTIF(Table2[Student ID],Table2[[#This Row],[Student ID]])&gt;1,"Duplicate","OK")</f>
        <v>OK</v>
      </c>
      <c r="K339" t="str">
        <f>IF(Table2[[#This Row],[Monthly Payment ($)]]&gt;50, "Unusual","OK")</f>
        <v>OK</v>
      </c>
    </row>
    <row r="340" spans="1:11" x14ac:dyDescent="0.35">
      <c r="A340" s="8" t="s">
        <v>348</v>
      </c>
      <c r="B340" t="s">
        <v>387</v>
      </c>
      <c r="C340" s="8" t="s">
        <v>392</v>
      </c>
      <c r="D340" s="8" t="s">
        <v>396</v>
      </c>
      <c r="E340" s="8" t="s">
        <v>398</v>
      </c>
      <c r="F340" s="10" t="s">
        <v>403</v>
      </c>
      <c r="G340" s="12">
        <v>50</v>
      </c>
      <c r="H340" s="16">
        <v>19</v>
      </c>
      <c r="I340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40" t="str">
        <f>IF(COUNTIF(Table2[Student ID],Table2[[#This Row],[Student ID]])&gt;1,"Duplicate","OK")</f>
        <v>OK</v>
      </c>
      <c r="K340" t="str">
        <f>IF(Table2[[#This Row],[Monthly Payment ($)]]&gt;50, "Unusual","OK")</f>
        <v>OK</v>
      </c>
    </row>
    <row r="341" spans="1:11" x14ac:dyDescent="0.35">
      <c r="A341" s="8" t="s">
        <v>349</v>
      </c>
      <c r="B341" t="s">
        <v>387</v>
      </c>
      <c r="C341" s="8" t="s">
        <v>390</v>
      </c>
      <c r="D341" s="8" t="s">
        <v>397</v>
      </c>
      <c r="E341" s="8" t="s">
        <v>400</v>
      </c>
      <c r="F341" s="10" t="s">
        <v>405</v>
      </c>
      <c r="G341" s="12">
        <v>0</v>
      </c>
      <c r="H341" s="16">
        <v>5</v>
      </c>
      <c r="I341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41" t="str">
        <f>IF(COUNTIF(Table2[Student ID],Table2[[#This Row],[Student ID]])&gt;1,"Duplicate","OK")</f>
        <v>OK</v>
      </c>
      <c r="K341" t="str">
        <f>IF(Table2[[#This Row],[Monthly Payment ($)]]&gt;50, "Unusual","OK")</f>
        <v>OK</v>
      </c>
    </row>
    <row r="342" spans="1:11" x14ac:dyDescent="0.35">
      <c r="A342" s="8" t="s">
        <v>350</v>
      </c>
      <c r="B342" t="s">
        <v>389</v>
      </c>
      <c r="C342" s="8" t="s">
        <v>394</v>
      </c>
      <c r="D342" s="8" t="s">
        <v>397</v>
      </c>
      <c r="E342" s="8" t="s">
        <v>399</v>
      </c>
      <c r="F342" s="10" t="s">
        <v>405</v>
      </c>
      <c r="G342" s="12">
        <v>0</v>
      </c>
      <c r="H342" s="16">
        <v>2</v>
      </c>
      <c r="I342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42" t="str">
        <f>IF(COUNTIF(Table2[Student ID],Table2[[#This Row],[Student ID]])&gt;1,"Duplicate","OK")</f>
        <v>OK</v>
      </c>
      <c r="K342" t="str">
        <f>IF(Table2[[#This Row],[Monthly Payment ($)]]&gt;50, "Unusual","OK")</f>
        <v>OK</v>
      </c>
    </row>
    <row r="343" spans="1:11" x14ac:dyDescent="0.35">
      <c r="A343" s="8" t="s">
        <v>351</v>
      </c>
      <c r="B343" t="s">
        <v>388</v>
      </c>
      <c r="C343" s="8" t="s">
        <v>392</v>
      </c>
      <c r="D343" s="8" t="s">
        <v>396</v>
      </c>
      <c r="E343" s="8" t="s">
        <v>399</v>
      </c>
      <c r="F343" s="10" t="s">
        <v>405</v>
      </c>
      <c r="G343" s="12">
        <v>50</v>
      </c>
      <c r="H343" s="16">
        <v>16</v>
      </c>
      <c r="I343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43" t="str">
        <f>IF(COUNTIF(Table2[Student ID],Table2[[#This Row],[Student ID]])&gt;1,"Duplicate","OK")</f>
        <v>OK</v>
      </c>
      <c r="K343" t="str">
        <f>IF(Table2[[#This Row],[Monthly Payment ($)]]&gt;50, "Unusual","OK")</f>
        <v>OK</v>
      </c>
    </row>
    <row r="344" spans="1:11" x14ac:dyDescent="0.35">
      <c r="A344" s="8" t="s">
        <v>352</v>
      </c>
      <c r="B344" t="s">
        <v>388</v>
      </c>
      <c r="C344" s="8" t="s">
        <v>392</v>
      </c>
      <c r="D344" s="8" t="s">
        <v>396</v>
      </c>
      <c r="E344" s="8" t="s">
        <v>400</v>
      </c>
      <c r="F344" s="10" t="s">
        <v>404</v>
      </c>
      <c r="G344" s="12">
        <v>50</v>
      </c>
      <c r="H344" s="16">
        <v>10</v>
      </c>
      <c r="I344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44" t="str">
        <f>IF(COUNTIF(Table2[Student ID],Table2[[#This Row],[Student ID]])&gt;1,"Duplicate","OK")</f>
        <v>OK</v>
      </c>
      <c r="K344" t="str">
        <f>IF(Table2[[#This Row],[Monthly Payment ($)]]&gt;50, "Unusual","OK")</f>
        <v>OK</v>
      </c>
    </row>
    <row r="345" spans="1:11" x14ac:dyDescent="0.35">
      <c r="A345" s="8" t="s">
        <v>353</v>
      </c>
      <c r="B345" t="s">
        <v>387</v>
      </c>
      <c r="C345" s="8" t="s">
        <v>391</v>
      </c>
      <c r="D345" s="8" t="s">
        <v>397</v>
      </c>
      <c r="E345" s="8" t="s">
        <v>399</v>
      </c>
      <c r="F345" s="10" t="s">
        <v>402</v>
      </c>
      <c r="G345" s="12">
        <v>0</v>
      </c>
      <c r="H345" s="16">
        <v>6</v>
      </c>
      <c r="I345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45" t="str">
        <f>IF(COUNTIF(Table2[Student ID],Table2[[#This Row],[Student ID]])&gt;1,"Duplicate","OK")</f>
        <v>OK</v>
      </c>
      <c r="K345" t="str">
        <f>IF(Table2[[#This Row],[Monthly Payment ($)]]&gt;50, "Unusual","OK")</f>
        <v>OK</v>
      </c>
    </row>
    <row r="346" spans="1:11" x14ac:dyDescent="0.35">
      <c r="A346" s="8" t="s">
        <v>354</v>
      </c>
      <c r="B346" t="s">
        <v>385</v>
      </c>
      <c r="C346" s="8" t="s">
        <v>390</v>
      </c>
      <c r="D346" s="8" t="s">
        <v>395</v>
      </c>
      <c r="E346" s="8" t="s">
        <v>398</v>
      </c>
      <c r="F346" s="10" t="s">
        <v>405</v>
      </c>
      <c r="G346" s="12">
        <v>20</v>
      </c>
      <c r="H346" s="16">
        <v>17</v>
      </c>
      <c r="I346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46" t="str">
        <f>IF(COUNTIF(Table2[Student ID],Table2[[#This Row],[Student ID]])&gt;1,"Duplicate","OK")</f>
        <v>OK</v>
      </c>
      <c r="K346" t="str">
        <f>IF(Table2[[#This Row],[Monthly Payment ($)]]&gt;50, "Unusual","OK")</f>
        <v>OK</v>
      </c>
    </row>
    <row r="347" spans="1:11" x14ac:dyDescent="0.35">
      <c r="A347" s="8" t="s">
        <v>355</v>
      </c>
      <c r="B347" t="s">
        <v>387</v>
      </c>
      <c r="C347" s="8" t="s">
        <v>394</v>
      </c>
      <c r="D347" s="8" t="s">
        <v>395</v>
      </c>
      <c r="E347" s="8" t="s">
        <v>399</v>
      </c>
      <c r="F347" s="10" t="s">
        <v>402</v>
      </c>
      <c r="G347" s="12">
        <v>20</v>
      </c>
      <c r="H347" s="16">
        <v>15</v>
      </c>
      <c r="I347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47" t="str">
        <f>IF(COUNTIF(Table2[Student ID],Table2[[#This Row],[Student ID]])&gt;1,"Duplicate","OK")</f>
        <v>OK</v>
      </c>
      <c r="K347" t="str">
        <f>IF(Table2[[#This Row],[Monthly Payment ($)]]&gt;50, "Unusual","OK")</f>
        <v>OK</v>
      </c>
    </row>
    <row r="348" spans="1:11" x14ac:dyDescent="0.35">
      <c r="A348" s="8" t="s">
        <v>356</v>
      </c>
      <c r="B348" t="s">
        <v>386</v>
      </c>
      <c r="C348" s="8" t="s">
        <v>390</v>
      </c>
      <c r="D348" s="8" t="s">
        <v>397</v>
      </c>
      <c r="E348" s="8" t="s">
        <v>401</v>
      </c>
      <c r="F348" s="10" t="s">
        <v>405</v>
      </c>
      <c r="G348" s="12">
        <v>0</v>
      </c>
      <c r="H348" s="16">
        <v>19</v>
      </c>
      <c r="I348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48" t="str">
        <f>IF(COUNTIF(Table2[Student ID],Table2[[#This Row],[Student ID]])&gt;1,"Duplicate","OK")</f>
        <v>OK</v>
      </c>
      <c r="K348" t="str">
        <f>IF(Table2[[#This Row],[Monthly Payment ($)]]&gt;50, "Unusual","OK")</f>
        <v>OK</v>
      </c>
    </row>
    <row r="349" spans="1:11" x14ac:dyDescent="0.35">
      <c r="A349" s="8" t="s">
        <v>357</v>
      </c>
      <c r="B349" t="s">
        <v>389</v>
      </c>
      <c r="C349" s="8" t="s">
        <v>390</v>
      </c>
      <c r="D349" s="8" t="s">
        <v>397</v>
      </c>
      <c r="E349" s="8" t="s">
        <v>398</v>
      </c>
      <c r="F349" s="10" t="s">
        <v>405</v>
      </c>
      <c r="G349" s="12">
        <v>0</v>
      </c>
      <c r="H349" s="16">
        <v>2</v>
      </c>
      <c r="I349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49" t="str">
        <f>IF(COUNTIF(Table2[Student ID],Table2[[#This Row],[Student ID]])&gt;1,"Duplicate","OK")</f>
        <v>OK</v>
      </c>
      <c r="K349" t="str">
        <f>IF(Table2[[#This Row],[Monthly Payment ($)]]&gt;50, "Unusual","OK")</f>
        <v>OK</v>
      </c>
    </row>
    <row r="350" spans="1:11" x14ac:dyDescent="0.35">
      <c r="A350" s="8" t="s">
        <v>358</v>
      </c>
      <c r="B350" t="s">
        <v>388</v>
      </c>
      <c r="C350" s="8" t="s">
        <v>390</v>
      </c>
      <c r="D350" s="8" t="s">
        <v>397</v>
      </c>
      <c r="E350" s="8" t="s">
        <v>401</v>
      </c>
      <c r="F350" s="10" t="s">
        <v>402</v>
      </c>
      <c r="G350" s="12">
        <v>0</v>
      </c>
      <c r="H350" s="16">
        <v>13</v>
      </c>
      <c r="I350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50" t="str">
        <f>IF(COUNTIF(Table2[Student ID],Table2[[#This Row],[Student ID]])&gt;1,"Duplicate","OK")</f>
        <v>OK</v>
      </c>
      <c r="K350" t="str">
        <f>IF(Table2[[#This Row],[Monthly Payment ($)]]&gt;50, "Unusual","OK")</f>
        <v>OK</v>
      </c>
    </row>
    <row r="351" spans="1:11" x14ac:dyDescent="0.35">
      <c r="A351" s="8" t="s">
        <v>359</v>
      </c>
      <c r="B351" t="s">
        <v>389</v>
      </c>
      <c r="C351" s="8" t="s">
        <v>390</v>
      </c>
      <c r="D351" s="8" t="s">
        <v>395</v>
      </c>
      <c r="E351" s="8" t="s">
        <v>401</v>
      </c>
      <c r="F351" s="10" t="s">
        <v>404</v>
      </c>
      <c r="G351" s="12">
        <v>20</v>
      </c>
      <c r="H351" s="16">
        <v>19</v>
      </c>
      <c r="I351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51" t="str">
        <f>IF(COUNTIF(Table2[Student ID],Table2[[#This Row],[Student ID]])&gt;1,"Duplicate","OK")</f>
        <v>OK</v>
      </c>
      <c r="K351" t="str">
        <f>IF(Table2[[#This Row],[Monthly Payment ($)]]&gt;50, "Unusual","OK")</f>
        <v>OK</v>
      </c>
    </row>
    <row r="352" spans="1:11" x14ac:dyDescent="0.35">
      <c r="A352" s="8" t="s">
        <v>360</v>
      </c>
      <c r="B352" t="s">
        <v>385</v>
      </c>
      <c r="C352" s="8" t="s">
        <v>390</v>
      </c>
      <c r="D352" s="8" t="s">
        <v>395</v>
      </c>
      <c r="E352" s="8" t="s">
        <v>399</v>
      </c>
      <c r="F352" s="10" t="s">
        <v>403</v>
      </c>
      <c r="G352" s="12">
        <v>20</v>
      </c>
      <c r="H352" s="16">
        <v>5</v>
      </c>
      <c r="I352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52" t="str">
        <f>IF(COUNTIF(Table2[Student ID],Table2[[#This Row],[Student ID]])&gt;1,"Duplicate","OK")</f>
        <v>OK</v>
      </c>
      <c r="K352" t="str">
        <f>IF(Table2[[#This Row],[Monthly Payment ($)]]&gt;50, "Unusual","OK")</f>
        <v>OK</v>
      </c>
    </row>
    <row r="353" spans="1:11" x14ac:dyDescent="0.35">
      <c r="A353" s="8" t="s">
        <v>361</v>
      </c>
      <c r="B353" t="s">
        <v>389</v>
      </c>
      <c r="C353" s="8" t="s">
        <v>390</v>
      </c>
      <c r="D353" s="8" t="s">
        <v>397</v>
      </c>
      <c r="E353" s="8" t="s">
        <v>400</v>
      </c>
      <c r="F353" s="10" t="s">
        <v>406</v>
      </c>
      <c r="G353" s="12">
        <v>0</v>
      </c>
      <c r="H353" s="16">
        <v>11</v>
      </c>
      <c r="I353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53" t="str">
        <f>IF(COUNTIF(Table2[Student ID],Table2[[#This Row],[Student ID]])&gt;1,"Duplicate","OK")</f>
        <v>OK</v>
      </c>
      <c r="K353" t="str">
        <f>IF(Table2[[#This Row],[Monthly Payment ($)]]&gt;50, "Unusual","OK")</f>
        <v>OK</v>
      </c>
    </row>
    <row r="354" spans="1:11" x14ac:dyDescent="0.35">
      <c r="A354" s="8" t="s">
        <v>362</v>
      </c>
      <c r="B354" t="s">
        <v>386</v>
      </c>
      <c r="C354" s="8" t="s">
        <v>394</v>
      </c>
      <c r="D354" s="8" t="s">
        <v>395</v>
      </c>
      <c r="E354" s="8" t="s">
        <v>401</v>
      </c>
      <c r="F354" s="10" t="s">
        <v>404</v>
      </c>
      <c r="G354" s="12">
        <v>20</v>
      </c>
      <c r="H354" s="16">
        <v>19</v>
      </c>
      <c r="I354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54" t="str">
        <f>IF(COUNTIF(Table2[Student ID],Table2[[#This Row],[Student ID]])&gt;1,"Duplicate","OK")</f>
        <v>OK</v>
      </c>
      <c r="K354" t="str">
        <f>IF(Table2[[#This Row],[Monthly Payment ($)]]&gt;50, "Unusual","OK")</f>
        <v>OK</v>
      </c>
    </row>
    <row r="355" spans="1:11" x14ac:dyDescent="0.35">
      <c r="A355" s="8" t="s">
        <v>363</v>
      </c>
      <c r="B355" t="s">
        <v>386</v>
      </c>
      <c r="C355" s="8" t="s">
        <v>393</v>
      </c>
      <c r="D355" s="8" t="s">
        <v>396</v>
      </c>
      <c r="E355" s="8" t="s">
        <v>401</v>
      </c>
      <c r="F355" s="10" t="s">
        <v>403</v>
      </c>
      <c r="G355" s="12">
        <v>50</v>
      </c>
      <c r="H355" s="16">
        <v>19</v>
      </c>
      <c r="I355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55" t="str">
        <f>IF(COUNTIF(Table2[Student ID],Table2[[#This Row],[Student ID]])&gt;1,"Duplicate","OK")</f>
        <v>OK</v>
      </c>
      <c r="K355" t="str">
        <f>IF(Table2[[#This Row],[Monthly Payment ($)]]&gt;50, "Unusual","OK")</f>
        <v>OK</v>
      </c>
    </row>
    <row r="356" spans="1:11" x14ac:dyDescent="0.35">
      <c r="A356" s="8" t="s">
        <v>364</v>
      </c>
      <c r="B356" t="s">
        <v>388</v>
      </c>
      <c r="C356" s="8" t="s">
        <v>390</v>
      </c>
      <c r="D356" s="8" t="s">
        <v>397</v>
      </c>
      <c r="E356" s="8" t="s">
        <v>401</v>
      </c>
      <c r="F356" s="10" t="s">
        <v>405</v>
      </c>
      <c r="G356" s="12">
        <v>0</v>
      </c>
      <c r="H356" s="16">
        <v>17</v>
      </c>
      <c r="I356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56" t="str">
        <f>IF(COUNTIF(Table2[Student ID],Table2[[#This Row],[Student ID]])&gt;1,"Duplicate","OK")</f>
        <v>OK</v>
      </c>
      <c r="K356" t="str">
        <f>IF(Table2[[#This Row],[Monthly Payment ($)]]&gt;50, "Unusual","OK")</f>
        <v>OK</v>
      </c>
    </row>
    <row r="357" spans="1:11" x14ac:dyDescent="0.35">
      <c r="A357" s="8" t="s">
        <v>365</v>
      </c>
      <c r="B357" t="s">
        <v>388</v>
      </c>
      <c r="C357" s="8" t="s">
        <v>394</v>
      </c>
      <c r="D357" s="8" t="s">
        <v>396</v>
      </c>
      <c r="E357" s="8" t="s">
        <v>400</v>
      </c>
      <c r="F357" s="10" t="s">
        <v>404</v>
      </c>
      <c r="G357" s="12">
        <v>50</v>
      </c>
      <c r="H357" s="16">
        <v>9</v>
      </c>
      <c r="I357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57" t="str">
        <f>IF(COUNTIF(Table2[Student ID],Table2[[#This Row],[Student ID]])&gt;1,"Duplicate","OK")</f>
        <v>OK</v>
      </c>
      <c r="K357" t="str">
        <f>IF(Table2[[#This Row],[Monthly Payment ($)]]&gt;50, "Unusual","OK")</f>
        <v>OK</v>
      </c>
    </row>
    <row r="358" spans="1:11" x14ac:dyDescent="0.35">
      <c r="A358" s="8" t="s">
        <v>366</v>
      </c>
      <c r="B358" t="s">
        <v>389</v>
      </c>
      <c r="C358" s="8" t="s">
        <v>394</v>
      </c>
      <c r="D358" s="8" t="s">
        <v>396</v>
      </c>
      <c r="E358" s="8" t="s">
        <v>401</v>
      </c>
      <c r="F358" s="10" t="s">
        <v>406</v>
      </c>
      <c r="G358" s="12">
        <v>50</v>
      </c>
      <c r="H358" s="16">
        <v>4</v>
      </c>
      <c r="I358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58" t="str">
        <f>IF(COUNTIF(Table2[Student ID],Table2[[#This Row],[Student ID]])&gt;1,"Duplicate","OK")</f>
        <v>OK</v>
      </c>
      <c r="K358" t="str">
        <f>IF(Table2[[#This Row],[Monthly Payment ($)]]&gt;50, "Unusual","OK")</f>
        <v>OK</v>
      </c>
    </row>
    <row r="359" spans="1:11" x14ac:dyDescent="0.35">
      <c r="A359" s="8" t="s">
        <v>367</v>
      </c>
      <c r="B359" t="s">
        <v>389</v>
      </c>
      <c r="C359" s="8" t="s">
        <v>394</v>
      </c>
      <c r="D359" s="8" t="s">
        <v>397</v>
      </c>
      <c r="E359" s="8" t="s">
        <v>399</v>
      </c>
      <c r="F359" s="10" t="s">
        <v>405</v>
      </c>
      <c r="G359" s="12">
        <v>0</v>
      </c>
      <c r="H359" s="16">
        <v>2</v>
      </c>
      <c r="I359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59" t="str">
        <f>IF(COUNTIF(Table2[Student ID],Table2[[#This Row],[Student ID]])&gt;1,"Duplicate","OK")</f>
        <v>OK</v>
      </c>
      <c r="K359" t="str">
        <f>IF(Table2[[#This Row],[Monthly Payment ($)]]&gt;50, "Unusual","OK")</f>
        <v>OK</v>
      </c>
    </row>
    <row r="360" spans="1:11" x14ac:dyDescent="0.35">
      <c r="A360" s="8" t="s">
        <v>368</v>
      </c>
      <c r="B360" t="s">
        <v>386</v>
      </c>
      <c r="C360" s="8" t="s">
        <v>391</v>
      </c>
      <c r="D360" s="8" t="s">
        <v>395</v>
      </c>
      <c r="E360" s="8" t="s">
        <v>400</v>
      </c>
      <c r="F360" s="10" t="s">
        <v>402</v>
      </c>
      <c r="G360" s="12">
        <v>20</v>
      </c>
      <c r="H360" s="16">
        <v>10</v>
      </c>
      <c r="I360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60" t="str">
        <f>IF(COUNTIF(Table2[Student ID],Table2[[#This Row],[Student ID]])&gt;1,"Duplicate","OK")</f>
        <v>OK</v>
      </c>
      <c r="K360" t="str">
        <f>IF(Table2[[#This Row],[Monthly Payment ($)]]&gt;50, "Unusual","OK")</f>
        <v>OK</v>
      </c>
    </row>
    <row r="361" spans="1:11" x14ac:dyDescent="0.35">
      <c r="A361" s="8" t="s">
        <v>369</v>
      </c>
      <c r="B361" t="s">
        <v>387</v>
      </c>
      <c r="C361" s="8" t="s">
        <v>394</v>
      </c>
      <c r="D361" s="8" t="s">
        <v>397</v>
      </c>
      <c r="E361" s="8" t="s">
        <v>401</v>
      </c>
      <c r="F361" s="10" t="s">
        <v>403</v>
      </c>
      <c r="G361" s="12">
        <v>0</v>
      </c>
      <c r="H361" s="16">
        <v>0</v>
      </c>
      <c r="I361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61" t="str">
        <f>IF(COUNTIF(Table2[Student ID],Table2[[#This Row],[Student ID]])&gt;1,"Duplicate","OK")</f>
        <v>OK</v>
      </c>
      <c r="K361" t="str">
        <f>IF(Table2[[#This Row],[Monthly Payment ($)]]&gt;50, "Unusual","OK")</f>
        <v>OK</v>
      </c>
    </row>
    <row r="362" spans="1:11" x14ac:dyDescent="0.35">
      <c r="A362" s="8" t="s">
        <v>370</v>
      </c>
      <c r="B362" t="s">
        <v>388</v>
      </c>
      <c r="C362" s="8" t="s">
        <v>391</v>
      </c>
      <c r="D362" s="8" t="s">
        <v>396</v>
      </c>
      <c r="E362" s="8" t="s">
        <v>399</v>
      </c>
      <c r="F362" s="10" t="s">
        <v>405</v>
      </c>
      <c r="G362" s="12">
        <v>50</v>
      </c>
      <c r="H362" s="16">
        <v>1</v>
      </c>
      <c r="I362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62" t="str">
        <f>IF(COUNTIF(Table2[Student ID],Table2[[#This Row],[Student ID]])&gt;1,"Duplicate","OK")</f>
        <v>OK</v>
      </c>
      <c r="K362" t="str">
        <f>IF(Table2[[#This Row],[Monthly Payment ($)]]&gt;50, "Unusual","OK")</f>
        <v>OK</v>
      </c>
    </row>
    <row r="363" spans="1:11" x14ac:dyDescent="0.35">
      <c r="A363" s="8" t="s">
        <v>371</v>
      </c>
      <c r="B363" t="s">
        <v>389</v>
      </c>
      <c r="C363" s="8" t="s">
        <v>393</v>
      </c>
      <c r="D363" s="8" t="s">
        <v>396</v>
      </c>
      <c r="E363" s="8" t="s">
        <v>400</v>
      </c>
      <c r="F363" s="10" t="s">
        <v>403</v>
      </c>
      <c r="G363" s="12">
        <v>50</v>
      </c>
      <c r="H363" s="16">
        <v>17</v>
      </c>
      <c r="I363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63" t="str">
        <f>IF(COUNTIF(Table2[Student ID],Table2[[#This Row],[Student ID]])&gt;1,"Duplicate","OK")</f>
        <v>OK</v>
      </c>
      <c r="K363" t="str">
        <f>IF(Table2[[#This Row],[Monthly Payment ($)]]&gt;50, "Unusual","OK")</f>
        <v>OK</v>
      </c>
    </row>
    <row r="364" spans="1:11" x14ac:dyDescent="0.35">
      <c r="A364" s="8" t="s">
        <v>372</v>
      </c>
      <c r="B364" t="s">
        <v>385</v>
      </c>
      <c r="C364" s="8" t="s">
        <v>390</v>
      </c>
      <c r="D364" s="8" t="s">
        <v>396</v>
      </c>
      <c r="E364" s="8" t="s">
        <v>401</v>
      </c>
      <c r="F364" s="10" t="s">
        <v>405</v>
      </c>
      <c r="G364" s="12">
        <v>50</v>
      </c>
      <c r="H364" s="16">
        <v>19</v>
      </c>
      <c r="I364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64" t="str">
        <f>IF(COUNTIF(Table2[Student ID],Table2[[#This Row],[Student ID]])&gt;1,"Duplicate","OK")</f>
        <v>OK</v>
      </c>
      <c r="K364" t="str">
        <f>IF(Table2[[#This Row],[Monthly Payment ($)]]&gt;50, "Unusual","OK")</f>
        <v>OK</v>
      </c>
    </row>
    <row r="365" spans="1:11" x14ac:dyDescent="0.35">
      <c r="A365" s="8" t="s">
        <v>373</v>
      </c>
      <c r="B365" t="s">
        <v>385</v>
      </c>
      <c r="C365" s="8" t="s">
        <v>391</v>
      </c>
      <c r="D365" s="8" t="s">
        <v>396</v>
      </c>
      <c r="E365" s="8" t="s">
        <v>401</v>
      </c>
      <c r="F365" s="10" t="s">
        <v>402</v>
      </c>
      <c r="G365" s="12">
        <v>50</v>
      </c>
      <c r="H365" s="16">
        <v>14</v>
      </c>
      <c r="I365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65" t="str">
        <f>IF(COUNTIF(Table2[Student ID],Table2[[#This Row],[Student ID]])&gt;1,"Duplicate","OK")</f>
        <v>OK</v>
      </c>
      <c r="K365" t="str">
        <f>IF(Table2[[#This Row],[Monthly Payment ($)]]&gt;50, "Unusual","OK")</f>
        <v>OK</v>
      </c>
    </row>
    <row r="366" spans="1:11" x14ac:dyDescent="0.35">
      <c r="A366" s="8" t="s">
        <v>374</v>
      </c>
      <c r="B366" t="s">
        <v>389</v>
      </c>
      <c r="C366" s="8" t="s">
        <v>390</v>
      </c>
      <c r="D366" s="8" t="s">
        <v>396</v>
      </c>
      <c r="E366" s="8" t="s">
        <v>400</v>
      </c>
      <c r="F366" s="10" t="s">
        <v>402</v>
      </c>
      <c r="G366" s="12">
        <v>50</v>
      </c>
      <c r="H366" s="16">
        <v>1</v>
      </c>
      <c r="I366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66" t="str">
        <f>IF(COUNTIF(Table2[Student ID],Table2[[#This Row],[Student ID]])&gt;1,"Duplicate","OK")</f>
        <v>OK</v>
      </c>
      <c r="K366" t="str">
        <f>IF(Table2[[#This Row],[Monthly Payment ($)]]&gt;50, "Unusual","OK")</f>
        <v>OK</v>
      </c>
    </row>
    <row r="367" spans="1:11" x14ac:dyDescent="0.35">
      <c r="A367" s="8" t="s">
        <v>375</v>
      </c>
      <c r="B367" t="s">
        <v>389</v>
      </c>
      <c r="C367" s="8" t="s">
        <v>392</v>
      </c>
      <c r="D367" s="8" t="s">
        <v>396</v>
      </c>
      <c r="E367" s="8" t="s">
        <v>399</v>
      </c>
      <c r="F367" s="10" t="s">
        <v>403</v>
      </c>
      <c r="G367" s="12">
        <v>50</v>
      </c>
      <c r="H367" s="16">
        <v>11</v>
      </c>
      <c r="I367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67" t="str">
        <f>IF(COUNTIF(Table2[Student ID],Table2[[#This Row],[Student ID]])&gt;1,"Duplicate","OK")</f>
        <v>OK</v>
      </c>
      <c r="K367" t="str">
        <f>IF(Table2[[#This Row],[Monthly Payment ($)]]&gt;50, "Unusual","OK")</f>
        <v>OK</v>
      </c>
    </row>
    <row r="368" spans="1:11" x14ac:dyDescent="0.35">
      <c r="A368" s="8" t="s">
        <v>376</v>
      </c>
      <c r="B368" t="s">
        <v>386</v>
      </c>
      <c r="C368" s="8" t="s">
        <v>391</v>
      </c>
      <c r="D368" s="8" t="s">
        <v>397</v>
      </c>
      <c r="E368" s="8" t="s">
        <v>398</v>
      </c>
      <c r="F368" s="10" t="s">
        <v>402</v>
      </c>
      <c r="G368" s="12">
        <v>0</v>
      </c>
      <c r="H368" s="16">
        <v>0</v>
      </c>
      <c r="I368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68" t="str">
        <f>IF(COUNTIF(Table2[Student ID],Table2[[#This Row],[Student ID]])&gt;1,"Duplicate","OK")</f>
        <v>OK</v>
      </c>
      <c r="K368" t="str">
        <f>IF(Table2[[#This Row],[Monthly Payment ($)]]&gt;50, "Unusual","OK")</f>
        <v>OK</v>
      </c>
    </row>
    <row r="369" spans="1:11" x14ac:dyDescent="0.35">
      <c r="A369" s="8" t="s">
        <v>377</v>
      </c>
      <c r="B369" t="s">
        <v>389</v>
      </c>
      <c r="C369" s="8" t="s">
        <v>394</v>
      </c>
      <c r="D369" s="8" t="s">
        <v>396</v>
      </c>
      <c r="E369" s="8" t="s">
        <v>400</v>
      </c>
      <c r="F369" s="10" t="s">
        <v>406</v>
      </c>
      <c r="G369" s="12">
        <v>50</v>
      </c>
      <c r="H369" s="16">
        <v>5</v>
      </c>
      <c r="I369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69" t="str">
        <f>IF(COUNTIF(Table2[Student ID],Table2[[#This Row],[Student ID]])&gt;1,"Duplicate","OK")</f>
        <v>OK</v>
      </c>
      <c r="K369" t="str">
        <f>IF(Table2[[#This Row],[Monthly Payment ($)]]&gt;50, "Unusual","OK")</f>
        <v>OK</v>
      </c>
    </row>
    <row r="370" spans="1:11" x14ac:dyDescent="0.35">
      <c r="A370" s="8" t="s">
        <v>378</v>
      </c>
      <c r="B370" t="s">
        <v>387</v>
      </c>
      <c r="C370" s="8" t="s">
        <v>393</v>
      </c>
      <c r="D370" s="8" t="s">
        <v>396</v>
      </c>
      <c r="E370" s="8" t="s">
        <v>399</v>
      </c>
      <c r="F370" s="10" t="s">
        <v>403</v>
      </c>
      <c r="G370" s="12">
        <v>50</v>
      </c>
      <c r="H370" s="16">
        <v>20</v>
      </c>
      <c r="I370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70" t="str">
        <f>IF(COUNTIF(Table2[Student ID],Table2[[#This Row],[Student ID]])&gt;1,"Duplicate","OK")</f>
        <v>OK</v>
      </c>
      <c r="K370" t="str">
        <f>IF(Table2[[#This Row],[Monthly Payment ($)]]&gt;50, "Unusual","OK")</f>
        <v>OK</v>
      </c>
    </row>
    <row r="371" spans="1:11" x14ac:dyDescent="0.35">
      <c r="A371" s="8" t="s">
        <v>379</v>
      </c>
      <c r="B371" t="s">
        <v>386</v>
      </c>
      <c r="C371" s="8" t="s">
        <v>393</v>
      </c>
      <c r="D371" s="8" t="s">
        <v>395</v>
      </c>
      <c r="E371" s="8" t="s">
        <v>400</v>
      </c>
      <c r="F371" s="10" t="s">
        <v>405</v>
      </c>
      <c r="G371" s="12">
        <v>20</v>
      </c>
      <c r="H371" s="16">
        <v>18</v>
      </c>
      <c r="I371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71" t="str">
        <f>IF(COUNTIF(Table2[Student ID],Table2[[#This Row],[Student ID]])&gt;1,"Duplicate","OK")</f>
        <v>OK</v>
      </c>
      <c r="K371" t="str">
        <f>IF(Table2[[#This Row],[Monthly Payment ($)]]&gt;50, "Unusual","OK")</f>
        <v>OK</v>
      </c>
    </row>
    <row r="372" spans="1:11" x14ac:dyDescent="0.35">
      <c r="A372" s="8" t="s">
        <v>380</v>
      </c>
      <c r="B372" t="s">
        <v>385</v>
      </c>
      <c r="C372" s="8" t="s">
        <v>391</v>
      </c>
      <c r="D372" s="8" t="s">
        <v>397</v>
      </c>
      <c r="E372" s="8" t="s">
        <v>398</v>
      </c>
      <c r="F372" s="10" t="s">
        <v>403</v>
      </c>
      <c r="G372" s="12">
        <v>0</v>
      </c>
      <c r="H372" s="16">
        <v>2</v>
      </c>
      <c r="I372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72" t="str">
        <f>IF(COUNTIF(Table2[Student ID],Table2[[#This Row],[Student ID]])&gt;1,"Duplicate","OK")</f>
        <v>OK</v>
      </c>
      <c r="K372" t="str">
        <f>IF(Table2[[#This Row],[Monthly Payment ($)]]&gt;50, "Unusual","OK")</f>
        <v>OK</v>
      </c>
    </row>
    <row r="373" spans="1:11" x14ac:dyDescent="0.35">
      <c r="A373" s="8" t="s">
        <v>381</v>
      </c>
      <c r="B373" t="s">
        <v>387</v>
      </c>
      <c r="C373" s="8" t="s">
        <v>390</v>
      </c>
      <c r="D373" s="8" t="s">
        <v>397</v>
      </c>
      <c r="E373" s="8" t="s">
        <v>398</v>
      </c>
      <c r="F373" s="10" t="s">
        <v>405</v>
      </c>
      <c r="G373" s="12">
        <v>0</v>
      </c>
      <c r="H373" s="16">
        <v>4</v>
      </c>
      <c r="I373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73" t="str">
        <f>IF(COUNTIF(Table2[Student ID],Table2[[#This Row],[Student ID]])&gt;1,"Duplicate","OK")</f>
        <v>OK</v>
      </c>
      <c r="K373" t="str">
        <f>IF(Table2[[#This Row],[Monthly Payment ($)]]&gt;50, "Unusual","OK")</f>
        <v>OK</v>
      </c>
    </row>
    <row r="374" spans="1:11" x14ac:dyDescent="0.35">
      <c r="A374" s="8" t="s">
        <v>382</v>
      </c>
      <c r="B374" t="s">
        <v>386</v>
      </c>
      <c r="C374" s="8" t="s">
        <v>394</v>
      </c>
      <c r="D374" s="8" t="s">
        <v>395</v>
      </c>
      <c r="E374" s="8" t="s">
        <v>400</v>
      </c>
      <c r="F374" s="10" t="s">
        <v>406</v>
      </c>
      <c r="G374" s="12">
        <v>20</v>
      </c>
      <c r="H374" s="16">
        <v>1</v>
      </c>
      <c r="I374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74" t="str">
        <f>IF(COUNTIF(Table2[Student ID],Table2[[#This Row],[Student ID]])&gt;1,"Duplicate","OK")</f>
        <v>OK</v>
      </c>
      <c r="K374" t="str">
        <f>IF(Table2[[#This Row],[Monthly Payment ($)]]&gt;50, "Unusual","OK")</f>
        <v>OK</v>
      </c>
    </row>
    <row r="375" spans="1:11" x14ac:dyDescent="0.35">
      <c r="A375" s="8" t="s">
        <v>383</v>
      </c>
      <c r="B375" t="s">
        <v>388</v>
      </c>
      <c r="C375" s="8" t="s">
        <v>391</v>
      </c>
      <c r="D375" s="8" t="s">
        <v>395</v>
      </c>
      <c r="E375" s="8" t="s">
        <v>399</v>
      </c>
      <c r="F375" s="10" t="s">
        <v>402</v>
      </c>
      <c r="G375" s="12">
        <v>20</v>
      </c>
      <c r="H375" s="16">
        <v>2</v>
      </c>
      <c r="I375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75" t="str">
        <f>IF(COUNTIF(Table2[Student ID],Table2[[#This Row],[Student ID]])&gt;1,"Duplicate","OK")</f>
        <v>OK</v>
      </c>
      <c r="K375" t="str">
        <f>IF(Table2[[#This Row],[Monthly Payment ($)]]&gt;50, "Unusual","OK")</f>
        <v>OK</v>
      </c>
    </row>
    <row r="376" spans="1:11" x14ac:dyDescent="0.35">
      <c r="A376" s="8" t="s">
        <v>384</v>
      </c>
      <c r="B376" t="s">
        <v>387</v>
      </c>
      <c r="C376" s="8" t="s">
        <v>392</v>
      </c>
      <c r="D376" s="8" t="s">
        <v>397</v>
      </c>
      <c r="E376" s="8" t="s">
        <v>401</v>
      </c>
      <c r="F376" s="10" t="s">
        <v>404</v>
      </c>
      <c r="G376" s="12">
        <v>0</v>
      </c>
      <c r="H376" s="16">
        <v>18</v>
      </c>
      <c r="I376" t="str">
        <f>IF(OR(ISBLANK(Table2[[#This Row],[Region]]), ISBLANK(Table2[[#This Row],[Course Name]]), ISBLANK(Table2[[#This Row],[Subscription Type]]), ISBLANK(Table2[[#This Row],[Signup Channel]]), ISBLANK(Table2[[#This Row],[Age Group]]), ISBLANK(Table2[[#This Row],[Monthly Payment ($)]]), ISBLANK(Table2[[#This Row],[Videos Watched (Month)]])), "Missing","OK")</f>
        <v>OK</v>
      </c>
      <c r="J376" t="str">
        <f>IF(COUNTIF(Table2[Student ID],Table2[[#This Row],[Student ID]])&gt;1,"Duplicate","OK")</f>
        <v>OK</v>
      </c>
      <c r="K376" t="str">
        <f>IF(Table2[[#This Row],[Monthly Payment ($)]]&gt;50, "Unusual","OK")</f>
        <v>OK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0844B-D220-437E-AD81-57B8F9A7F6B1}">
  <dimension ref="A1:H376"/>
  <sheetViews>
    <sheetView workbookViewId="0">
      <selection activeCell="C16" sqref="C16"/>
    </sheetView>
  </sheetViews>
  <sheetFormatPr defaultRowHeight="14.5" x14ac:dyDescent="0.35"/>
  <cols>
    <col min="1" max="1" width="11.7265625" style="8" customWidth="1"/>
    <col min="2" max="2" width="13" style="8" bestFit="1" customWidth="1"/>
    <col min="3" max="3" width="16.6328125" style="8" bestFit="1" customWidth="1"/>
    <col min="4" max="4" width="17.6328125" style="8" customWidth="1"/>
    <col min="5" max="5" width="15.6328125" style="8" customWidth="1"/>
    <col min="6" max="6" width="11.6328125" style="10" customWidth="1"/>
    <col min="7" max="7" width="20.54296875" style="16" customWidth="1"/>
    <col min="8" max="8" width="23.90625" style="16" customWidth="1"/>
  </cols>
  <sheetData>
    <row r="1" spans="1:8" x14ac:dyDescent="0.35">
      <c r="A1" s="7" t="s">
        <v>2</v>
      </c>
      <c r="B1" s="7" t="s">
        <v>3</v>
      </c>
      <c r="C1" s="7" t="s">
        <v>4</v>
      </c>
      <c r="D1" s="7" t="s">
        <v>5</v>
      </c>
      <c r="E1" s="7" t="s">
        <v>6</v>
      </c>
      <c r="F1" s="9" t="s">
        <v>7</v>
      </c>
      <c r="G1" s="15" t="s">
        <v>8</v>
      </c>
      <c r="H1" s="15" t="s">
        <v>9</v>
      </c>
    </row>
    <row r="2" spans="1:8" x14ac:dyDescent="0.35">
      <c r="A2" s="8" t="s">
        <v>10</v>
      </c>
      <c r="B2" s="8" t="s">
        <v>385</v>
      </c>
      <c r="C2" s="8" t="s">
        <v>390</v>
      </c>
      <c r="D2" s="8" t="s">
        <v>395</v>
      </c>
      <c r="E2" s="8" t="s">
        <v>398</v>
      </c>
      <c r="F2" s="10" t="s">
        <v>402</v>
      </c>
      <c r="G2" s="16">
        <v>20</v>
      </c>
      <c r="H2" s="16">
        <v>3</v>
      </c>
    </row>
    <row r="3" spans="1:8" x14ac:dyDescent="0.35">
      <c r="A3" s="8" t="s">
        <v>11</v>
      </c>
      <c r="B3" s="8" t="s">
        <v>386</v>
      </c>
      <c r="C3" s="8" t="s">
        <v>391</v>
      </c>
      <c r="D3" s="8" t="s">
        <v>395</v>
      </c>
      <c r="E3" s="8" t="s">
        <v>398</v>
      </c>
      <c r="F3" s="10" t="s">
        <v>402</v>
      </c>
      <c r="G3" s="16">
        <v>20</v>
      </c>
      <c r="H3" s="16">
        <v>17</v>
      </c>
    </row>
    <row r="4" spans="1:8" x14ac:dyDescent="0.35">
      <c r="A4" s="8" t="s">
        <v>12</v>
      </c>
      <c r="B4" s="8" t="s">
        <v>387</v>
      </c>
      <c r="C4" s="8" t="s">
        <v>392</v>
      </c>
      <c r="D4" s="8" t="s">
        <v>396</v>
      </c>
      <c r="E4" s="8" t="s">
        <v>399</v>
      </c>
      <c r="F4" s="10" t="s">
        <v>403</v>
      </c>
      <c r="G4" s="16">
        <v>50</v>
      </c>
      <c r="H4" s="16">
        <v>15</v>
      </c>
    </row>
    <row r="5" spans="1:8" x14ac:dyDescent="0.35">
      <c r="A5" s="8" t="s">
        <v>13</v>
      </c>
      <c r="B5" s="8" t="s">
        <v>388</v>
      </c>
      <c r="C5" s="8" t="s">
        <v>391</v>
      </c>
      <c r="D5" s="8" t="s">
        <v>397</v>
      </c>
      <c r="E5" s="8" t="s">
        <v>400</v>
      </c>
      <c r="F5" s="10" t="s">
        <v>402</v>
      </c>
      <c r="G5" s="16">
        <v>0</v>
      </c>
      <c r="H5" s="16">
        <v>10</v>
      </c>
    </row>
    <row r="6" spans="1:8" x14ac:dyDescent="0.35">
      <c r="A6" s="8" t="s">
        <v>14</v>
      </c>
      <c r="B6" s="8" t="s">
        <v>389</v>
      </c>
      <c r="C6" s="8" t="s">
        <v>392</v>
      </c>
      <c r="D6" s="8" t="s">
        <v>395</v>
      </c>
      <c r="E6" s="8" t="s">
        <v>399</v>
      </c>
      <c r="F6" s="10" t="s">
        <v>404</v>
      </c>
      <c r="G6" s="16">
        <v>20</v>
      </c>
      <c r="H6" s="16">
        <v>15</v>
      </c>
    </row>
    <row r="7" spans="1:8" x14ac:dyDescent="0.35">
      <c r="A7" s="8" t="s">
        <v>15</v>
      </c>
      <c r="B7" s="8" t="s">
        <v>388</v>
      </c>
      <c r="C7" s="8" t="s">
        <v>390</v>
      </c>
      <c r="D7" s="8" t="s">
        <v>397</v>
      </c>
      <c r="E7" s="8" t="s">
        <v>401</v>
      </c>
      <c r="F7" s="10" t="s">
        <v>403</v>
      </c>
      <c r="G7" s="16">
        <v>0</v>
      </c>
      <c r="H7" s="16">
        <v>6</v>
      </c>
    </row>
    <row r="8" spans="1:8" x14ac:dyDescent="0.35">
      <c r="A8" s="8" t="s">
        <v>16</v>
      </c>
      <c r="B8" s="8" t="s">
        <v>387</v>
      </c>
      <c r="C8" s="8" t="s">
        <v>393</v>
      </c>
      <c r="D8" s="8" t="s">
        <v>396</v>
      </c>
      <c r="E8" s="8" t="s">
        <v>401</v>
      </c>
      <c r="F8" s="10" t="s">
        <v>403</v>
      </c>
      <c r="G8" s="16">
        <v>50</v>
      </c>
      <c r="H8" s="16">
        <v>6</v>
      </c>
    </row>
    <row r="9" spans="1:8" x14ac:dyDescent="0.35">
      <c r="A9" s="8" t="s">
        <v>17</v>
      </c>
      <c r="B9" s="8" t="s">
        <v>385</v>
      </c>
      <c r="C9" s="8" t="s">
        <v>385</v>
      </c>
      <c r="D9" s="8" t="s">
        <v>396</v>
      </c>
      <c r="E9" s="8" t="s">
        <v>401</v>
      </c>
      <c r="F9" s="10" t="s">
        <v>404</v>
      </c>
      <c r="G9" s="16">
        <v>50</v>
      </c>
      <c r="H9" s="16">
        <v>14</v>
      </c>
    </row>
    <row r="10" spans="1:8" x14ac:dyDescent="0.35">
      <c r="A10" s="8" t="s">
        <v>18</v>
      </c>
      <c r="B10" s="8" t="s">
        <v>387</v>
      </c>
      <c r="C10" s="8" t="s">
        <v>392</v>
      </c>
      <c r="D10" s="8" t="s">
        <v>397</v>
      </c>
      <c r="E10" s="8" t="s">
        <v>399</v>
      </c>
      <c r="F10" s="10" t="s">
        <v>405</v>
      </c>
      <c r="G10" s="16">
        <v>0</v>
      </c>
      <c r="H10" s="16">
        <v>20</v>
      </c>
    </row>
    <row r="11" spans="1:8" x14ac:dyDescent="0.35">
      <c r="A11" s="8" t="s">
        <v>19</v>
      </c>
      <c r="B11" s="8" t="s">
        <v>389</v>
      </c>
      <c r="C11" s="8" t="s">
        <v>394</v>
      </c>
      <c r="D11" s="8" t="s">
        <v>396</v>
      </c>
      <c r="E11" s="8" t="s">
        <v>401</v>
      </c>
      <c r="F11" s="10" t="s">
        <v>405</v>
      </c>
      <c r="G11" s="16">
        <v>50</v>
      </c>
      <c r="H11" s="16">
        <v>18</v>
      </c>
    </row>
    <row r="12" spans="1:8" x14ac:dyDescent="0.35">
      <c r="A12" s="8" t="s">
        <v>20</v>
      </c>
      <c r="B12" s="8" t="s">
        <v>387</v>
      </c>
      <c r="C12" s="8" t="s">
        <v>390</v>
      </c>
      <c r="D12" s="8" t="s">
        <v>396</v>
      </c>
      <c r="E12" s="8" t="s">
        <v>398</v>
      </c>
      <c r="F12" s="10" t="s">
        <v>404</v>
      </c>
      <c r="G12" s="16">
        <v>50</v>
      </c>
      <c r="H12" s="16">
        <v>15</v>
      </c>
    </row>
    <row r="13" spans="1:8" x14ac:dyDescent="0.35">
      <c r="A13" s="8" t="s">
        <v>21</v>
      </c>
      <c r="B13" s="8" t="s">
        <v>388</v>
      </c>
      <c r="C13" s="8" t="s">
        <v>393</v>
      </c>
      <c r="D13" s="8" t="s">
        <v>395</v>
      </c>
      <c r="E13" s="8" t="s">
        <v>401</v>
      </c>
      <c r="F13" s="10" t="s">
        <v>403</v>
      </c>
      <c r="G13" s="16">
        <v>20</v>
      </c>
      <c r="H13" s="16">
        <v>1</v>
      </c>
    </row>
    <row r="14" spans="1:8" x14ac:dyDescent="0.35">
      <c r="A14" s="8" t="s">
        <v>22</v>
      </c>
      <c r="B14" s="8" t="s">
        <v>389</v>
      </c>
      <c r="C14" s="8" t="s">
        <v>394</v>
      </c>
      <c r="D14" s="8" t="s">
        <v>395</v>
      </c>
      <c r="E14" s="8" t="s">
        <v>400</v>
      </c>
      <c r="F14" s="10" t="s">
        <v>403</v>
      </c>
      <c r="G14" s="16">
        <v>20</v>
      </c>
      <c r="H14" s="16">
        <v>8</v>
      </c>
    </row>
    <row r="15" spans="1:8" x14ac:dyDescent="0.35">
      <c r="A15" s="8" t="s">
        <v>23</v>
      </c>
      <c r="B15" s="8" t="s">
        <v>387</v>
      </c>
      <c r="C15" s="8" t="s">
        <v>393</v>
      </c>
      <c r="D15" s="8" t="s">
        <v>396</v>
      </c>
      <c r="E15" s="8" t="s">
        <v>401</v>
      </c>
      <c r="F15" s="10" t="s">
        <v>405</v>
      </c>
      <c r="G15" s="16">
        <v>50</v>
      </c>
      <c r="H15" s="16">
        <v>20</v>
      </c>
    </row>
    <row r="16" spans="1:8" x14ac:dyDescent="0.35">
      <c r="A16" s="8" t="s">
        <v>24</v>
      </c>
      <c r="B16" s="8" t="s">
        <v>388</v>
      </c>
      <c r="C16" s="8" t="s">
        <v>394</v>
      </c>
      <c r="D16" s="8" t="s">
        <v>397</v>
      </c>
      <c r="E16" s="8" t="s">
        <v>401</v>
      </c>
      <c r="F16" s="10" t="s">
        <v>403</v>
      </c>
      <c r="G16" s="16">
        <v>0</v>
      </c>
      <c r="H16" s="16">
        <v>15</v>
      </c>
    </row>
    <row r="17" spans="1:8" x14ac:dyDescent="0.35">
      <c r="A17" s="8" t="s">
        <v>25</v>
      </c>
      <c r="B17" s="8" t="s">
        <v>386</v>
      </c>
      <c r="C17" s="8" t="s">
        <v>391</v>
      </c>
      <c r="D17" s="8" t="s">
        <v>395</v>
      </c>
      <c r="E17" s="8" t="s">
        <v>401</v>
      </c>
      <c r="F17" s="10" t="s">
        <v>403</v>
      </c>
      <c r="G17" s="16">
        <v>20</v>
      </c>
      <c r="H17" s="16">
        <v>15</v>
      </c>
    </row>
    <row r="18" spans="1:8" x14ac:dyDescent="0.35">
      <c r="A18" s="8" t="s">
        <v>26</v>
      </c>
      <c r="B18" s="8" t="s">
        <v>389</v>
      </c>
      <c r="C18" s="8" t="s">
        <v>392</v>
      </c>
      <c r="D18" s="8" t="s">
        <v>397</v>
      </c>
      <c r="E18" s="8" t="s">
        <v>398</v>
      </c>
      <c r="F18" s="10" t="s">
        <v>403</v>
      </c>
      <c r="G18" s="16">
        <v>0</v>
      </c>
      <c r="H18" s="16">
        <v>14</v>
      </c>
    </row>
    <row r="19" spans="1:8" x14ac:dyDescent="0.35">
      <c r="A19" s="8" t="s">
        <v>27</v>
      </c>
      <c r="B19" s="8" t="s">
        <v>386</v>
      </c>
      <c r="C19" s="8" t="s">
        <v>393</v>
      </c>
      <c r="D19" s="8" t="s">
        <v>397</v>
      </c>
      <c r="E19" s="8" t="s">
        <v>401</v>
      </c>
      <c r="F19" s="10" t="s">
        <v>402</v>
      </c>
      <c r="G19" s="16">
        <v>0</v>
      </c>
      <c r="H19" s="16">
        <v>7</v>
      </c>
    </row>
    <row r="20" spans="1:8" x14ac:dyDescent="0.35">
      <c r="A20" s="8" t="s">
        <v>28</v>
      </c>
      <c r="B20" s="8" t="s">
        <v>388</v>
      </c>
      <c r="C20" s="8" t="s">
        <v>392</v>
      </c>
      <c r="D20" s="8" t="s">
        <v>395</v>
      </c>
      <c r="E20" s="8" t="s">
        <v>398</v>
      </c>
      <c r="F20" s="10" t="s">
        <v>402</v>
      </c>
      <c r="G20" s="16">
        <v>20</v>
      </c>
      <c r="H20" s="16">
        <v>4</v>
      </c>
    </row>
    <row r="21" spans="1:8" x14ac:dyDescent="0.35">
      <c r="A21" s="8" t="s">
        <v>29</v>
      </c>
      <c r="B21" s="8" t="s">
        <v>389</v>
      </c>
      <c r="C21" s="8" t="s">
        <v>390</v>
      </c>
      <c r="D21" s="8" t="s">
        <v>397</v>
      </c>
      <c r="E21" s="8" t="s">
        <v>400</v>
      </c>
      <c r="F21" s="10" t="s">
        <v>404</v>
      </c>
      <c r="G21" s="16">
        <v>0</v>
      </c>
      <c r="H21" s="16">
        <v>19</v>
      </c>
    </row>
    <row r="22" spans="1:8" x14ac:dyDescent="0.35">
      <c r="A22" s="8" t="s">
        <v>30</v>
      </c>
      <c r="B22" s="8" t="s">
        <v>386</v>
      </c>
      <c r="C22" s="8" t="s">
        <v>391</v>
      </c>
      <c r="D22" s="8" t="s">
        <v>395</v>
      </c>
      <c r="E22" s="8" t="s">
        <v>399</v>
      </c>
      <c r="F22" s="10" t="s">
        <v>404</v>
      </c>
      <c r="G22" s="16">
        <v>20</v>
      </c>
      <c r="H22" s="16">
        <v>3</v>
      </c>
    </row>
    <row r="23" spans="1:8" x14ac:dyDescent="0.35">
      <c r="A23" s="8" t="s">
        <v>31</v>
      </c>
      <c r="B23" s="8" t="s">
        <v>387</v>
      </c>
      <c r="C23" s="8" t="s">
        <v>393</v>
      </c>
      <c r="D23" s="8" t="s">
        <v>395</v>
      </c>
      <c r="E23" s="8" t="s">
        <v>399</v>
      </c>
      <c r="F23" s="10" t="s">
        <v>404</v>
      </c>
      <c r="G23" s="16">
        <v>20</v>
      </c>
      <c r="H23" s="16">
        <v>8</v>
      </c>
    </row>
    <row r="24" spans="1:8" x14ac:dyDescent="0.35">
      <c r="A24" s="8" t="s">
        <v>32</v>
      </c>
      <c r="B24" s="8" t="s">
        <v>386</v>
      </c>
      <c r="C24" s="8" t="s">
        <v>390</v>
      </c>
      <c r="D24" s="8" t="s">
        <v>395</v>
      </c>
      <c r="E24" s="8" t="s">
        <v>401</v>
      </c>
      <c r="F24" s="10" t="s">
        <v>404</v>
      </c>
      <c r="G24" s="16">
        <v>20</v>
      </c>
      <c r="H24" s="16">
        <v>15</v>
      </c>
    </row>
    <row r="25" spans="1:8" x14ac:dyDescent="0.35">
      <c r="A25" s="8" t="s">
        <v>33</v>
      </c>
      <c r="B25" s="8" t="s">
        <v>389</v>
      </c>
      <c r="C25" s="8" t="s">
        <v>392</v>
      </c>
      <c r="D25" s="8" t="s">
        <v>397</v>
      </c>
      <c r="E25" s="8" t="s">
        <v>398</v>
      </c>
      <c r="F25" s="10" t="s">
        <v>403</v>
      </c>
      <c r="G25" s="16">
        <v>0</v>
      </c>
      <c r="H25" s="16">
        <v>2</v>
      </c>
    </row>
    <row r="26" spans="1:8" x14ac:dyDescent="0.35">
      <c r="A26" s="8" t="s">
        <v>34</v>
      </c>
      <c r="B26" s="8" t="s">
        <v>389</v>
      </c>
      <c r="C26" s="8" t="s">
        <v>391</v>
      </c>
      <c r="D26" s="8" t="s">
        <v>396</v>
      </c>
      <c r="E26" s="8" t="s">
        <v>398</v>
      </c>
      <c r="F26" s="10" t="s">
        <v>403</v>
      </c>
      <c r="G26" s="16">
        <v>50</v>
      </c>
      <c r="H26" s="16">
        <v>13</v>
      </c>
    </row>
    <row r="27" spans="1:8" x14ac:dyDescent="0.35">
      <c r="A27" s="8" t="s">
        <v>35</v>
      </c>
      <c r="B27" s="8" t="s">
        <v>389</v>
      </c>
      <c r="C27" s="8" t="s">
        <v>393</v>
      </c>
      <c r="D27" s="8" t="s">
        <v>397</v>
      </c>
      <c r="E27" s="8" t="s">
        <v>399</v>
      </c>
      <c r="F27" s="10" t="s">
        <v>405</v>
      </c>
      <c r="G27" s="16">
        <v>0</v>
      </c>
      <c r="H27" s="16">
        <v>15</v>
      </c>
    </row>
    <row r="28" spans="1:8" x14ac:dyDescent="0.35">
      <c r="A28" s="8" t="s">
        <v>36</v>
      </c>
      <c r="B28" s="8" t="s">
        <v>386</v>
      </c>
      <c r="C28" s="8" t="s">
        <v>390</v>
      </c>
      <c r="D28" s="8" t="s">
        <v>396</v>
      </c>
      <c r="E28" s="8" t="s">
        <v>400</v>
      </c>
      <c r="F28" s="10" t="s">
        <v>406</v>
      </c>
      <c r="G28" s="16">
        <v>50</v>
      </c>
      <c r="H28" s="16">
        <v>9</v>
      </c>
    </row>
    <row r="29" spans="1:8" x14ac:dyDescent="0.35">
      <c r="A29" s="8" t="s">
        <v>37</v>
      </c>
      <c r="B29" s="8" t="s">
        <v>387</v>
      </c>
      <c r="C29" s="8" t="s">
        <v>394</v>
      </c>
      <c r="D29" s="8" t="s">
        <v>397</v>
      </c>
      <c r="E29" s="8" t="s">
        <v>399</v>
      </c>
      <c r="F29" s="10" t="s">
        <v>402</v>
      </c>
      <c r="G29" s="16">
        <v>0</v>
      </c>
      <c r="H29" s="16">
        <v>8</v>
      </c>
    </row>
    <row r="30" spans="1:8" x14ac:dyDescent="0.35">
      <c r="A30" s="8" t="s">
        <v>38</v>
      </c>
      <c r="B30" s="8" t="s">
        <v>386</v>
      </c>
      <c r="C30" s="8" t="s">
        <v>391</v>
      </c>
      <c r="D30" s="8" t="s">
        <v>395</v>
      </c>
      <c r="E30" s="8" t="s">
        <v>400</v>
      </c>
      <c r="F30" s="10" t="s">
        <v>404</v>
      </c>
      <c r="G30" s="16">
        <v>20</v>
      </c>
      <c r="H30" s="16">
        <v>17</v>
      </c>
    </row>
    <row r="31" spans="1:8" x14ac:dyDescent="0.35">
      <c r="A31" s="8" t="s">
        <v>39</v>
      </c>
      <c r="B31" s="8" t="s">
        <v>385</v>
      </c>
      <c r="C31" s="8" t="s">
        <v>393</v>
      </c>
      <c r="D31" s="8" t="s">
        <v>395</v>
      </c>
      <c r="E31" s="8" t="s">
        <v>399</v>
      </c>
      <c r="F31" s="10" t="s">
        <v>403</v>
      </c>
      <c r="G31" s="16">
        <v>20</v>
      </c>
      <c r="H31" s="16">
        <v>8</v>
      </c>
    </row>
    <row r="32" spans="1:8" x14ac:dyDescent="0.35">
      <c r="A32" s="8" t="s">
        <v>40</v>
      </c>
      <c r="B32" s="8" t="s">
        <v>389</v>
      </c>
      <c r="C32" s="8" t="s">
        <v>390</v>
      </c>
      <c r="D32" s="8" t="s">
        <v>396</v>
      </c>
      <c r="E32" s="8" t="s">
        <v>398</v>
      </c>
      <c r="F32" s="10" t="s">
        <v>406</v>
      </c>
      <c r="G32" s="16">
        <v>50</v>
      </c>
      <c r="H32" s="16">
        <v>1</v>
      </c>
    </row>
    <row r="33" spans="1:8" x14ac:dyDescent="0.35">
      <c r="A33" s="8" t="s">
        <v>41</v>
      </c>
      <c r="B33" s="8" t="s">
        <v>387</v>
      </c>
      <c r="C33" s="8" t="s">
        <v>391</v>
      </c>
      <c r="D33" s="8" t="s">
        <v>397</v>
      </c>
      <c r="E33" s="8" t="s">
        <v>401</v>
      </c>
      <c r="F33" s="10" t="s">
        <v>404</v>
      </c>
      <c r="G33" s="16">
        <v>0</v>
      </c>
      <c r="H33" s="16">
        <v>0</v>
      </c>
    </row>
    <row r="34" spans="1:8" x14ac:dyDescent="0.35">
      <c r="A34" s="8" t="s">
        <v>42</v>
      </c>
      <c r="B34" s="8" t="s">
        <v>387</v>
      </c>
      <c r="C34" s="8" t="s">
        <v>392</v>
      </c>
      <c r="D34" s="8" t="s">
        <v>396</v>
      </c>
      <c r="E34" s="8" t="s">
        <v>398</v>
      </c>
      <c r="F34" s="10" t="s">
        <v>406</v>
      </c>
      <c r="G34" s="16">
        <v>50</v>
      </c>
      <c r="H34" s="16">
        <v>5</v>
      </c>
    </row>
    <row r="35" spans="1:8" x14ac:dyDescent="0.35">
      <c r="A35" s="8" t="s">
        <v>43</v>
      </c>
      <c r="B35" s="8" t="s">
        <v>385</v>
      </c>
      <c r="C35" s="8" t="s">
        <v>392</v>
      </c>
      <c r="D35" s="8" t="s">
        <v>396</v>
      </c>
      <c r="E35" s="8" t="s">
        <v>400</v>
      </c>
      <c r="F35" s="10" t="s">
        <v>403</v>
      </c>
      <c r="G35" s="16">
        <v>50</v>
      </c>
      <c r="H35" s="16">
        <v>9</v>
      </c>
    </row>
    <row r="36" spans="1:8" x14ac:dyDescent="0.35">
      <c r="A36" s="8" t="s">
        <v>44</v>
      </c>
      <c r="B36" s="8" t="s">
        <v>385</v>
      </c>
      <c r="C36" s="8" t="s">
        <v>393</v>
      </c>
      <c r="D36" s="8" t="s">
        <v>397</v>
      </c>
      <c r="E36" s="8" t="s">
        <v>401</v>
      </c>
      <c r="F36" s="10" t="s">
        <v>403</v>
      </c>
      <c r="G36" s="16">
        <v>0</v>
      </c>
      <c r="H36" s="16">
        <v>14</v>
      </c>
    </row>
    <row r="37" spans="1:8" x14ac:dyDescent="0.35">
      <c r="A37" s="8" t="s">
        <v>45</v>
      </c>
      <c r="B37" s="8" t="s">
        <v>388</v>
      </c>
      <c r="C37" s="8" t="s">
        <v>393</v>
      </c>
      <c r="D37" s="8" t="s">
        <v>396</v>
      </c>
      <c r="E37" s="8" t="s">
        <v>400</v>
      </c>
      <c r="F37" s="10" t="s">
        <v>404</v>
      </c>
      <c r="G37" s="16">
        <v>50</v>
      </c>
      <c r="H37" s="16">
        <v>2</v>
      </c>
    </row>
    <row r="38" spans="1:8" x14ac:dyDescent="0.35">
      <c r="A38" s="8" t="s">
        <v>46</v>
      </c>
      <c r="B38" s="8" t="s">
        <v>389</v>
      </c>
      <c r="C38" s="8" t="s">
        <v>392</v>
      </c>
      <c r="D38" s="8" t="s">
        <v>395</v>
      </c>
      <c r="E38" s="8" t="s">
        <v>401</v>
      </c>
      <c r="F38" s="10" t="s">
        <v>405</v>
      </c>
      <c r="G38" s="16">
        <v>20</v>
      </c>
      <c r="H38" s="16">
        <v>4</v>
      </c>
    </row>
    <row r="39" spans="1:8" x14ac:dyDescent="0.35">
      <c r="A39" s="8" t="s">
        <v>47</v>
      </c>
      <c r="B39" s="8" t="s">
        <v>385</v>
      </c>
      <c r="C39" s="8" t="s">
        <v>391</v>
      </c>
      <c r="D39" s="8" t="s">
        <v>397</v>
      </c>
      <c r="E39" s="8" t="s">
        <v>399</v>
      </c>
      <c r="F39" s="10" t="s">
        <v>402</v>
      </c>
      <c r="G39" s="16">
        <v>0</v>
      </c>
      <c r="H39" s="16">
        <v>17</v>
      </c>
    </row>
    <row r="40" spans="1:8" x14ac:dyDescent="0.35">
      <c r="A40" s="8" t="s">
        <v>48</v>
      </c>
      <c r="B40" s="8" t="s">
        <v>389</v>
      </c>
      <c r="C40" s="8" t="s">
        <v>392</v>
      </c>
      <c r="D40" s="8" t="s">
        <v>396</v>
      </c>
      <c r="E40" s="8" t="s">
        <v>401</v>
      </c>
      <c r="F40" s="10" t="s">
        <v>404</v>
      </c>
      <c r="G40" s="16">
        <v>50</v>
      </c>
      <c r="H40" s="16">
        <v>12</v>
      </c>
    </row>
    <row r="41" spans="1:8" x14ac:dyDescent="0.35">
      <c r="A41" s="8" t="s">
        <v>49</v>
      </c>
      <c r="B41" s="8" t="s">
        <v>389</v>
      </c>
      <c r="C41" s="8" t="s">
        <v>390</v>
      </c>
      <c r="D41" s="8" t="s">
        <v>396</v>
      </c>
      <c r="E41" s="8" t="s">
        <v>400</v>
      </c>
      <c r="F41" s="10" t="s">
        <v>402</v>
      </c>
      <c r="G41" s="16">
        <v>50</v>
      </c>
      <c r="H41" s="16">
        <v>17</v>
      </c>
    </row>
    <row r="42" spans="1:8" x14ac:dyDescent="0.35">
      <c r="A42" s="8" t="s">
        <v>50</v>
      </c>
      <c r="B42" s="8" t="s">
        <v>385</v>
      </c>
      <c r="C42" s="8" t="s">
        <v>394</v>
      </c>
      <c r="D42" s="8" t="s">
        <v>396</v>
      </c>
      <c r="E42" s="8" t="s">
        <v>400</v>
      </c>
      <c r="F42" s="10" t="s">
        <v>402</v>
      </c>
      <c r="G42" s="16">
        <v>50</v>
      </c>
      <c r="H42" s="16">
        <v>6</v>
      </c>
    </row>
    <row r="43" spans="1:8" x14ac:dyDescent="0.35">
      <c r="A43" s="8" t="s">
        <v>51</v>
      </c>
      <c r="B43" s="8" t="s">
        <v>387</v>
      </c>
      <c r="C43" s="8" t="s">
        <v>393</v>
      </c>
      <c r="D43" s="8" t="s">
        <v>395</v>
      </c>
      <c r="E43" s="8" t="s">
        <v>400</v>
      </c>
      <c r="F43" s="10" t="s">
        <v>404</v>
      </c>
      <c r="G43" s="16">
        <v>20</v>
      </c>
      <c r="H43" s="16">
        <v>6</v>
      </c>
    </row>
    <row r="44" spans="1:8" x14ac:dyDescent="0.35">
      <c r="A44" s="8" t="s">
        <v>52</v>
      </c>
      <c r="B44" s="8" t="s">
        <v>389</v>
      </c>
      <c r="C44" s="8" t="s">
        <v>390</v>
      </c>
      <c r="D44" s="8" t="s">
        <v>395</v>
      </c>
      <c r="E44" s="8" t="s">
        <v>399</v>
      </c>
      <c r="F44" s="10" t="s">
        <v>406</v>
      </c>
      <c r="G44" s="16">
        <v>20</v>
      </c>
      <c r="H44" s="16">
        <v>10</v>
      </c>
    </row>
    <row r="45" spans="1:8" x14ac:dyDescent="0.35">
      <c r="A45" s="8" t="s">
        <v>53</v>
      </c>
      <c r="B45" s="8" t="s">
        <v>386</v>
      </c>
      <c r="C45" s="8" t="s">
        <v>390</v>
      </c>
      <c r="D45" s="8" t="s">
        <v>396</v>
      </c>
      <c r="E45" s="8" t="s">
        <v>399</v>
      </c>
      <c r="F45" s="10" t="s">
        <v>402</v>
      </c>
      <c r="G45" s="16">
        <v>50</v>
      </c>
      <c r="H45" s="16">
        <v>8</v>
      </c>
    </row>
    <row r="46" spans="1:8" x14ac:dyDescent="0.35">
      <c r="A46" s="8" t="s">
        <v>54</v>
      </c>
      <c r="B46" s="8" t="s">
        <v>388</v>
      </c>
      <c r="C46" s="8" t="s">
        <v>390</v>
      </c>
      <c r="D46" s="8" t="s">
        <v>395</v>
      </c>
      <c r="E46" s="8" t="s">
        <v>399</v>
      </c>
      <c r="F46" s="10" t="s">
        <v>402</v>
      </c>
      <c r="G46" s="16">
        <v>20</v>
      </c>
      <c r="H46" s="16">
        <v>8</v>
      </c>
    </row>
    <row r="47" spans="1:8" x14ac:dyDescent="0.35">
      <c r="A47" s="8" t="s">
        <v>55</v>
      </c>
      <c r="B47" s="8" t="s">
        <v>386</v>
      </c>
      <c r="C47" s="8" t="s">
        <v>394</v>
      </c>
      <c r="D47" s="8" t="s">
        <v>396</v>
      </c>
      <c r="E47" s="8" t="s">
        <v>399</v>
      </c>
      <c r="F47" s="10" t="s">
        <v>405</v>
      </c>
      <c r="G47" s="16">
        <v>50</v>
      </c>
      <c r="H47" s="16">
        <v>7</v>
      </c>
    </row>
    <row r="48" spans="1:8" x14ac:dyDescent="0.35">
      <c r="A48" s="8" t="s">
        <v>56</v>
      </c>
      <c r="B48" s="8" t="s">
        <v>389</v>
      </c>
      <c r="C48" s="8" t="s">
        <v>393</v>
      </c>
      <c r="D48" s="8" t="s">
        <v>396</v>
      </c>
      <c r="E48" s="8" t="s">
        <v>401</v>
      </c>
      <c r="F48" s="10" t="s">
        <v>406</v>
      </c>
      <c r="G48" s="16">
        <v>50</v>
      </c>
      <c r="H48" s="16">
        <v>9</v>
      </c>
    </row>
    <row r="49" spans="1:8" x14ac:dyDescent="0.35">
      <c r="A49" s="8" t="s">
        <v>57</v>
      </c>
      <c r="B49" s="8" t="s">
        <v>389</v>
      </c>
      <c r="C49" s="8" t="s">
        <v>394</v>
      </c>
      <c r="D49" s="8" t="s">
        <v>397</v>
      </c>
      <c r="E49" s="8" t="s">
        <v>400</v>
      </c>
      <c r="F49" s="10" t="s">
        <v>405</v>
      </c>
      <c r="G49" s="16">
        <v>0</v>
      </c>
      <c r="H49" s="16">
        <v>16</v>
      </c>
    </row>
    <row r="50" spans="1:8" x14ac:dyDescent="0.35">
      <c r="A50" s="8" t="s">
        <v>58</v>
      </c>
      <c r="B50" s="8" t="s">
        <v>387</v>
      </c>
      <c r="C50" s="8" t="s">
        <v>393</v>
      </c>
      <c r="D50" s="8" t="s">
        <v>396</v>
      </c>
      <c r="E50" s="8" t="s">
        <v>400</v>
      </c>
      <c r="F50" s="10" t="s">
        <v>403</v>
      </c>
      <c r="G50" s="16">
        <v>50</v>
      </c>
      <c r="H50" s="16">
        <v>14</v>
      </c>
    </row>
    <row r="51" spans="1:8" x14ac:dyDescent="0.35">
      <c r="A51" s="8" t="s">
        <v>59</v>
      </c>
      <c r="B51" s="8" t="s">
        <v>385</v>
      </c>
      <c r="C51" s="8" t="s">
        <v>393</v>
      </c>
      <c r="D51" s="8" t="s">
        <v>396</v>
      </c>
      <c r="E51" s="8" t="s">
        <v>400</v>
      </c>
      <c r="F51" s="10" t="s">
        <v>405</v>
      </c>
      <c r="G51" s="16">
        <v>50</v>
      </c>
      <c r="H51" s="16">
        <v>5</v>
      </c>
    </row>
    <row r="52" spans="1:8" x14ac:dyDescent="0.35">
      <c r="A52" s="8" t="s">
        <v>60</v>
      </c>
      <c r="B52" s="8" t="s">
        <v>386</v>
      </c>
      <c r="C52" s="8" t="s">
        <v>391</v>
      </c>
      <c r="D52" s="8" t="s">
        <v>395</v>
      </c>
      <c r="E52" s="8" t="s">
        <v>400</v>
      </c>
      <c r="F52" s="10" t="s">
        <v>404</v>
      </c>
      <c r="G52" s="16">
        <v>20</v>
      </c>
      <c r="H52" s="16">
        <v>8</v>
      </c>
    </row>
    <row r="53" spans="1:8" x14ac:dyDescent="0.35">
      <c r="A53" s="8" t="s">
        <v>61</v>
      </c>
      <c r="B53" s="8" t="s">
        <v>387</v>
      </c>
      <c r="C53" s="8" t="s">
        <v>394</v>
      </c>
      <c r="D53" s="8" t="s">
        <v>397</v>
      </c>
      <c r="E53" s="8" t="s">
        <v>399</v>
      </c>
      <c r="F53" s="10" t="s">
        <v>405</v>
      </c>
      <c r="G53" s="16">
        <v>0</v>
      </c>
      <c r="H53" s="16">
        <v>16</v>
      </c>
    </row>
    <row r="54" spans="1:8" x14ac:dyDescent="0.35">
      <c r="A54" s="8" t="s">
        <v>62</v>
      </c>
      <c r="B54" s="8" t="s">
        <v>387</v>
      </c>
      <c r="C54" s="8" t="s">
        <v>392</v>
      </c>
      <c r="D54" s="8" t="s">
        <v>395</v>
      </c>
      <c r="E54" s="8" t="s">
        <v>401</v>
      </c>
      <c r="F54" s="10" t="s">
        <v>405</v>
      </c>
      <c r="G54" s="16">
        <v>20</v>
      </c>
      <c r="H54" s="16">
        <v>10</v>
      </c>
    </row>
    <row r="55" spans="1:8" x14ac:dyDescent="0.35">
      <c r="A55" s="8" t="s">
        <v>63</v>
      </c>
      <c r="B55" s="8" t="s">
        <v>385</v>
      </c>
      <c r="C55" s="8" t="s">
        <v>391</v>
      </c>
      <c r="D55" s="8" t="s">
        <v>395</v>
      </c>
      <c r="E55" s="8" t="s">
        <v>401</v>
      </c>
      <c r="F55" s="10" t="s">
        <v>406</v>
      </c>
      <c r="G55" s="16">
        <v>20</v>
      </c>
      <c r="H55" s="16">
        <v>11</v>
      </c>
    </row>
    <row r="56" spans="1:8" x14ac:dyDescent="0.35">
      <c r="A56" s="8" t="s">
        <v>64</v>
      </c>
      <c r="B56" s="8" t="s">
        <v>389</v>
      </c>
      <c r="C56" s="8" t="s">
        <v>393</v>
      </c>
      <c r="D56" s="8" t="s">
        <v>397</v>
      </c>
      <c r="E56" s="8" t="s">
        <v>398</v>
      </c>
      <c r="F56" s="10" t="s">
        <v>402</v>
      </c>
      <c r="G56" s="16">
        <v>0</v>
      </c>
      <c r="H56" s="16">
        <v>1</v>
      </c>
    </row>
    <row r="57" spans="1:8" x14ac:dyDescent="0.35">
      <c r="A57" s="8" t="s">
        <v>65</v>
      </c>
      <c r="B57" s="8" t="s">
        <v>387</v>
      </c>
      <c r="C57" s="8" t="s">
        <v>394</v>
      </c>
      <c r="D57" s="8" t="s">
        <v>395</v>
      </c>
      <c r="E57" s="8" t="s">
        <v>399</v>
      </c>
      <c r="F57" s="10" t="s">
        <v>406</v>
      </c>
      <c r="G57" s="16">
        <v>20</v>
      </c>
      <c r="H57" s="16">
        <v>2</v>
      </c>
    </row>
    <row r="58" spans="1:8" x14ac:dyDescent="0.35">
      <c r="A58" s="8" t="s">
        <v>66</v>
      </c>
      <c r="B58" s="8" t="s">
        <v>385</v>
      </c>
      <c r="C58" s="8" t="s">
        <v>390</v>
      </c>
      <c r="D58" s="8" t="s">
        <v>396</v>
      </c>
      <c r="E58" s="8" t="s">
        <v>398</v>
      </c>
      <c r="F58" s="10" t="s">
        <v>406</v>
      </c>
      <c r="G58" s="16">
        <v>50</v>
      </c>
      <c r="H58" s="16">
        <v>13</v>
      </c>
    </row>
    <row r="59" spans="1:8" x14ac:dyDescent="0.35">
      <c r="A59" s="8" t="s">
        <v>67</v>
      </c>
      <c r="B59" s="8" t="s">
        <v>389</v>
      </c>
      <c r="C59" s="8" t="s">
        <v>393</v>
      </c>
      <c r="D59" s="8" t="s">
        <v>396</v>
      </c>
      <c r="E59" s="8" t="s">
        <v>401</v>
      </c>
      <c r="F59" s="10" t="s">
        <v>404</v>
      </c>
      <c r="G59" s="16">
        <v>50</v>
      </c>
      <c r="H59" s="16">
        <v>20</v>
      </c>
    </row>
    <row r="60" spans="1:8" x14ac:dyDescent="0.35">
      <c r="A60" s="8" t="s">
        <v>68</v>
      </c>
      <c r="B60" s="8" t="s">
        <v>388</v>
      </c>
      <c r="C60" s="8" t="s">
        <v>390</v>
      </c>
      <c r="D60" s="8" t="s">
        <v>395</v>
      </c>
      <c r="E60" s="8" t="s">
        <v>401</v>
      </c>
      <c r="F60" s="10" t="s">
        <v>405</v>
      </c>
      <c r="G60" s="16">
        <v>20</v>
      </c>
      <c r="H60" s="16">
        <v>3</v>
      </c>
    </row>
    <row r="61" spans="1:8" x14ac:dyDescent="0.35">
      <c r="A61" s="8" t="s">
        <v>69</v>
      </c>
      <c r="B61" s="8" t="s">
        <v>386</v>
      </c>
      <c r="C61" s="8" t="s">
        <v>392</v>
      </c>
      <c r="D61" s="8" t="s">
        <v>396</v>
      </c>
      <c r="E61" s="8" t="s">
        <v>401</v>
      </c>
      <c r="F61" s="10" t="s">
        <v>403</v>
      </c>
      <c r="G61" s="16">
        <v>50</v>
      </c>
      <c r="H61" s="16">
        <v>1</v>
      </c>
    </row>
    <row r="62" spans="1:8" x14ac:dyDescent="0.35">
      <c r="A62" s="8" t="s">
        <v>70</v>
      </c>
      <c r="B62" s="8" t="s">
        <v>385</v>
      </c>
      <c r="C62" s="8" t="s">
        <v>393</v>
      </c>
      <c r="D62" s="8" t="s">
        <v>396</v>
      </c>
      <c r="E62" s="8" t="s">
        <v>400</v>
      </c>
      <c r="F62" s="10" t="s">
        <v>406</v>
      </c>
      <c r="G62" s="16">
        <v>50</v>
      </c>
      <c r="H62" s="16">
        <v>12</v>
      </c>
    </row>
    <row r="63" spans="1:8" x14ac:dyDescent="0.35">
      <c r="A63" s="8" t="s">
        <v>71</v>
      </c>
      <c r="B63" s="8" t="s">
        <v>389</v>
      </c>
      <c r="C63" s="8" t="s">
        <v>390</v>
      </c>
      <c r="D63" s="8" t="s">
        <v>396</v>
      </c>
      <c r="E63" s="8" t="s">
        <v>399</v>
      </c>
      <c r="F63" s="10" t="s">
        <v>404</v>
      </c>
      <c r="G63" s="16">
        <v>50</v>
      </c>
      <c r="H63" s="16">
        <v>7</v>
      </c>
    </row>
    <row r="64" spans="1:8" x14ac:dyDescent="0.35">
      <c r="A64" s="8" t="s">
        <v>72</v>
      </c>
      <c r="B64" s="8" t="s">
        <v>389</v>
      </c>
      <c r="C64" s="8" t="s">
        <v>391</v>
      </c>
      <c r="D64" s="8" t="s">
        <v>396</v>
      </c>
      <c r="E64" s="8" t="s">
        <v>398</v>
      </c>
      <c r="F64" s="10" t="s">
        <v>402</v>
      </c>
      <c r="G64" s="16">
        <v>50</v>
      </c>
      <c r="H64" s="16">
        <v>17</v>
      </c>
    </row>
    <row r="65" spans="1:8" x14ac:dyDescent="0.35">
      <c r="A65" s="8" t="s">
        <v>73</v>
      </c>
      <c r="B65" s="8" t="s">
        <v>385</v>
      </c>
      <c r="C65" s="8" t="s">
        <v>394</v>
      </c>
      <c r="D65" s="8" t="s">
        <v>397</v>
      </c>
      <c r="E65" s="8" t="s">
        <v>399</v>
      </c>
      <c r="F65" s="10" t="s">
        <v>403</v>
      </c>
      <c r="G65" s="16">
        <v>0</v>
      </c>
      <c r="H65" s="16">
        <v>17</v>
      </c>
    </row>
    <row r="66" spans="1:8" x14ac:dyDescent="0.35">
      <c r="A66" s="8" t="s">
        <v>74</v>
      </c>
      <c r="B66" s="8" t="s">
        <v>389</v>
      </c>
      <c r="C66" s="8" t="s">
        <v>391</v>
      </c>
      <c r="D66" s="8" t="s">
        <v>396</v>
      </c>
      <c r="E66" s="8" t="s">
        <v>398</v>
      </c>
      <c r="F66" s="10" t="s">
        <v>406</v>
      </c>
      <c r="G66" s="16">
        <v>50</v>
      </c>
      <c r="H66" s="16">
        <v>20</v>
      </c>
    </row>
    <row r="67" spans="1:8" x14ac:dyDescent="0.35">
      <c r="A67" s="8" t="s">
        <v>75</v>
      </c>
      <c r="B67" s="8" t="s">
        <v>386</v>
      </c>
      <c r="C67" s="8" t="s">
        <v>390</v>
      </c>
      <c r="D67" s="8" t="s">
        <v>395</v>
      </c>
      <c r="E67" s="8" t="s">
        <v>401</v>
      </c>
      <c r="F67" s="10" t="s">
        <v>404</v>
      </c>
      <c r="G67" s="16">
        <v>20</v>
      </c>
      <c r="H67" s="16">
        <v>15</v>
      </c>
    </row>
    <row r="68" spans="1:8" x14ac:dyDescent="0.35">
      <c r="A68" s="8" t="s">
        <v>76</v>
      </c>
      <c r="B68" s="8" t="s">
        <v>386</v>
      </c>
      <c r="C68" s="8" t="s">
        <v>393</v>
      </c>
      <c r="D68" s="8" t="s">
        <v>395</v>
      </c>
      <c r="E68" s="8" t="s">
        <v>400</v>
      </c>
      <c r="F68" s="10" t="s">
        <v>403</v>
      </c>
      <c r="G68" s="16">
        <v>20</v>
      </c>
      <c r="H68" s="16">
        <v>11</v>
      </c>
    </row>
    <row r="69" spans="1:8" x14ac:dyDescent="0.35">
      <c r="A69" s="8" t="s">
        <v>77</v>
      </c>
      <c r="B69" s="8" t="s">
        <v>389</v>
      </c>
      <c r="C69" s="8" t="s">
        <v>393</v>
      </c>
      <c r="D69" s="8" t="s">
        <v>397</v>
      </c>
      <c r="E69" s="8" t="s">
        <v>398</v>
      </c>
      <c r="F69" s="10" t="s">
        <v>406</v>
      </c>
      <c r="G69" s="16">
        <v>0</v>
      </c>
      <c r="H69" s="16">
        <v>16</v>
      </c>
    </row>
    <row r="70" spans="1:8" x14ac:dyDescent="0.35">
      <c r="A70" s="8" t="s">
        <v>78</v>
      </c>
      <c r="B70" s="8" t="s">
        <v>385</v>
      </c>
      <c r="C70" s="8" t="s">
        <v>394</v>
      </c>
      <c r="D70" s="8" t="s">
        <v>395</v>
      </c>
      <c r="E70" s="8" t="s">
        <v>400</v>
      </c>
      <c r="F70" s="10" t="s">
        <v>406</v>
      </c>
      <c r="G70" s="16">
        <v>20</v>
      </c>
      <c r="H70" s="16">
        <v>10</v>
      </c>
    </row>
    <row r="71" spans="1:8" x14ac:dyDescent="0.35">
      <c r="A71" s="8" t="s">
        <v>79</v>
      </c>
      <c r="B71" s="8" t="s">
        <v>389</v>
      </c>
      <c r="C71" s="8" t="s">
        <v>392</v>
      </c>
      <c r="D71" s="8" t="s">
        <v>397</v>
      </c>
      <c r="E71" s="8" t="s">
        <v>401</v>
      </c>
      <c r="F71" s="10" t="s">
        <v>404</v>
      </c>
      <c r="G71" s="16">
        <v>0</v>
      </c>
      <c r="H71" s="16">
        <v>7</v>
      </c>
    </row>
    <row r="72" spans="1:8" x14ac:dyDescent="0.35">
      <c r="A72" s="8" t="s">
        <v>80</v>
      </c>
      <c r="B72" s="8" t="s">
        <v>389</v>
      </c>
      <c r="C72" s="8" t="s">
        <v>393</v>
      </c>
      <c r="D72" s="8" t="s">
        <v>396</v>
      </c>
      <c r="E72" s="8" t="s">
        <v>401</v>
      </c>
      <c r="F72" s="10" t="s">
        <v>402</v>
      </c>
      <c r="G72" s="16">
        <v>50</v>
      </c>
      <c r="H72" s="16">
        <v>13</v>
      </c>
    </row>
    <row r="73" spans="1:8" x14ac:dyDescent="0.35">
      <c r="A73" s="8" t="s">
        <v>81</v>
      </c>
      <c r="B73" s="8" t="s">
        <v>387</v>
      </c>
      <c r="C73" s="8" t="s">
        <v>393</v>
      </c>
      <c r="D73" s="8" t="s">
        <v>397</v>
      </c>
      <c r="E73" s="8" t="s">
        <v>398</v>
      </c>
      <c r="F73" s="10" t="s">
        <v>406</v>
      </c>
      <c r="G73" s="16">
        <v>0</v>
      </c>
      <c r="H73" s="16">
        <v>10</v>
      </c>
    </row>
    <row r="74" spans="1:8" x14ac:dyDescent="0.35">
      <c r="A74" s="8" t="s">
        <v>82</v>
      </c>
      <c r="B74" s="8" t="s">
        <v>389</v>
      </c>
      <c r="C74" s="8" t="s">
        <v>394</v>
      </c>
      <c r="D74" s="8" t="s">
        <v>397</v>
      </c>
      <c r="E74" s="8" t="s">
        <v>400</v>
      </c>
      <c r="F74" s="10" t="s">
        <v>404</v>
      </c>
      <c r="G74" s="16">
        <v>0</v>
      </c>
      <c r="H74" s="16">
        <v>18</v>
      </c>
    </row>
    <row r="75" spans="1:8" x14ac:dyDescent="0.35">
      <c r="A75" s="8" t="s">
        <v>83</v>
      </c>
      <c r="B75" s="8" t="s">
        <v>388</v>
      </c>
      <c r="C75" s="8" t="s">
        <v>393</v>
      </c>
      <c r="D75" s="8" t="s">
        <v>395</v>
      </c>
      <c r="E75" s="8" t="s">
        <v>400</v>
      </c>
      <c r="F75" s="10" t="s">
        <v>405</v>
      </c>
      <c r="G75" s="16">
        <v>20</v>
      </c>
      <c r="H75" s="16">
        <v>4</v>
      </c>
    </row>
    <row r="76" spans="1:8" x14ac:dyDescent="0.35">
      <c r="A76" s="8" t="s">
        <v>84</v>
      </c>
      <c r="B76" s="8" t="s">
        <v>389</v>
      </c>
      <c r="C76" s="8" t="s">
        <v>392</v>
      </c>
      <c r="D76" s="8" t="s">
        <v>397</v>
      </c>
      <c r="E76" s="8" t="s">
        <v>401</v>
      </c>
      <c r="F76" s="10" t="s">
        <v>402</v>
      </c>
      <c r="G76" s="16">
        <v>0</v>
      </c>
      <c r="H76" s="16">
        <v>0</v>
      </c>
    </row>
    <row r="77" spans="1:8" x14ac:dyDescent="0.35">
      <c r="A77" s="8" t="s">
        <v>85</v>
      </c>
      <c r="B77" s="8" t="s">
        <v>386</v>
      </c>
      <c r="C77" s="8" t="s">
        <v>394</v>
      </c>
      <c r="D77" s="8" t="s">
        <v>395</v>
      </c>
      <c r="E77" s="8" t="s">
        <v>400</v>
      </c>
      <c r="F77" s="10" t="s">
        <v>404</v>
      </c>
      <c r="G77" s="16">
        <v>20</v>
      </c>
      <c r="H77" s="16">
        <v>2</v>
      </c>
    </row>
    <row r="78" spans="1:8" x14ac:dyDescent="0.35">
      <c r="A78" s="8" t="s">
        <v>86</v>
      </c>
      <c r="B78" s="8" t="s">
        <v>386</v>
      </c>
      <c r="C78" s="8" t="s">
        <v>391</v>
      </c>
      <c r="D78" s="8" t="s">
        <v>395</v>
      </c>
      <c r="E78" s="8" t="s">
        <v>401</v>
      </c>
      <c r="F78" s="10" t="s">
        <v>404</v>
      </c>
      <c r="G78" s="16">
        <v>20</v>
      </c>
      <c r="H78" s="16">
        <v>14</v>
      </c>
    </row>
    <row r="79" spans="1:8" x14ac:dyDescent="0.35">
      <c r="A79" s="8" t="s">
        <v>87</v>
      </c>
      <c r="B79" s="8" t="s">
        <v>388</v>
      </c>
      <c r="C79" s="8" t="s">
        <v>394</v>
      </c>
      <c r="D79" s="8" t="s">
        <v>397</v>
      </c>
      <c r="E79" s="8" t="s">
        <v>400</v>
      </c>
      <c r="F79" s="10" t="s">
        <v>402</v>
      </c>
      <c r="G79" s="16">
        <v>0</v>
      </c>
      <c r="H79" s="16">
        <v>3</v>
      </c>
    </row>
    <row r="80" spans="1:8" x14ac:dyDescent="0.35">
      <c r="A80" s="8" t="s">
        <v>88</v>
      </c>
      <c r="B80" s="8" t="s">
        <v>387</v>
      </c>
      <c r="C80" s="8" t="s">
        <v>394</v>
      </c>
      <c r="D80" s="8" t="s">
        <v>397</v>
      </c>
      <c r="E80" s="8" t="s">
        <v>399</v>
      </c>
      <c r="F80" s="10" t="s">
        <v>403</v>
      </c>
      <c r="G80" s="16">
        <v>0</v>
      </c>
      <c r="H80" s="16">
        <v>11</v>
      </c>
    </row>
    <row r="81" spans="1:8" x14ac:dyDescent="0.35">
      <c r="A81" s="8" t="s">
        <v>89</v>
      </c>
      <c r="B81" s="8" t="s">
        <v>385</v>
      </c>
      <c r="C81" s="8" t="s">
        <v>392</v>
      </c>
      <c r="D81" s="8" t="s">
        <v>396</v>
      </c>
      <c r="E81" s="8" t="s">
        <v>398</v>
      </c>
      <c r="F81" s="10" t="s">
        <v>406</v>
      </c>
      <c r="G81" s="16">
        <v>50</v>
      </c>
      <c r="H81" s="16">
        <v>8</v>
      </c>
    </row>
    <row r="82" spans="1:8" x14ac:dyDescent="0.35">
      <c r="A82" s="8" t="s">
        <v>90</v>
      </c>
      <c r="B82" s="8" t="s">
        <v>388</v>
      </c>
      <c r="C82" s="8" t="s">
        <v>393</v>
      </c>
      <c r="D82" s="8" t="s">
        <v>395</v>
      </c>
      <c r="E82" s="8" t="s">
        <v>399</v>
      </c>
      <c r="F82" s="10" t="s">
        <v>406</v>
      </c>
      <c r="G82" s="16">
        <v>20</v>
      </c>
      <c r="H82" s="16">
        <v>5</v>
      </c>
    </row>
    <row r="83" spans="1:8" x14ac:dyDescent="0.35">
      <c r="A83" s="8" t="s">
        <v>91</v>
      </c>
      <c r="B83" s="8" t="s">
        <v>389</v>
      </c>
      <c r="C83" s="8" t="s">
        <v>391</v>
      </c>
      <c r="D83" s="8" t="s">
        <v>396</v>
      </c>
      <c r="E83" s="8" t="s">
        <v>400</v>
      </c>
      <c r="F83" s="10" t="s">
        <v>402</v>
      </c>
      <c r="G83" s="16">
        <v>50</v>
      </c>
      <c r="H83" s="16">
        <v>1</v>
      </c>
    </row>
    <row r="84" spans="1:8" x14ac:dyDescent="0.35">
      <c r="A84" s="8" t="s">
        <v>92</v>
      </c>
      <c r="B84" s="8" t="s">
        <v>389</v>
      </c>
      <c r="C84" s="8" t="s">
        <v>393</v>
      </c>
      <c r="D84" s="8" t="s">
        <v>396</v>
      </c>
      <c r="E84" s="8" t="s">
        <v>400</v>
      </c>
      <c r="F84" s="10" t="s">
        <v>402</v>
      </c>
      <c r="G84" s="16">
        <v>50</v>
      </c>
      <c r="H84" s="16">
        <v>12</v>
      </c>
    </row>
    <row r="85" spans="1:8" x14ac:dyDescent="0.35">
      <c r="A85" s="8" t="s">
        <v>93</v>
      </c>
      <c r="B85" s="8" t="s">
        <v>389</v>
      </c>
      <c r="C85" s="8" t="s">
        <v>394</v>
      </c>
      <c r="D85" s="8" t="s">
        <v>397</v>
      </c>
      <c r="E85" s="8" t="s">
        <v>401</v>
      </c>
      <c r="F85" s="10" t="s">
        <v>406</v>
      </c>
      <c r="G85" s="16">
        <v>0</v>
      </c>
      <c r="H85" s="16">
        <v>9</v>
      </c>
    </row>
    <row r="86" spans="1:8" x14ac:dyDescent="0.35">
      <c r="A86" s="8" t="s">
        <v>94</v>
      </c>
      <c r="B86" s="8" t="s">
        <v>387</v>
      </c>
      <c r="C86" s="8" t="s">
        <v>393</v>
      </c>
      <c r="D86" s="8" t="s">
        <v>397</v>
      </c>
      <c r="E86" s="8" t="s">
        <v>398</v>
      </c>
      <c r="F86" s="10" t="s">
        <v>404</v>
      </c>
      <c r="G86" s="16">
        <v>0</v>
      </c>
      <c r="H86" s="16">
        <v>8</v>
      </c>
    </row>
    <row r="87" spans="1:8" x14ac:dyDescent="0.35">
      <c r="A87" s="8" t="s">
        <v>95</v>
      </c>
      <c r="B87" s="8" t="s">
        <v>386</v>
      </c>
      <c r="C87" s="8" t="s">
        <v>392</v>
      </c>
      <c r="D87" s="8" t="s">
        <v>396</v>
      </c>
      <c r="E87" s="8" t="s">
        <v>398</v>
      </c>
      <c r="F87" s="10" t="s">
        <v>403</v>
      </c>
      <c r="G87" s="16">
        <v>50</v>
      </c>
      <c r="H87" s="16">
        <v>3</v>
      </c>
    </row>
    <row r="88" spans="1:8" x14ac:dyDescent="0.35">
      <c r="A88" s="8" t="s">
        <v>96</v>
      </c>
      <c r="B88" s="8" t="s">
        <v>387</v>
      </c>
      <c r="C88" s="8" t="s">
        <v>392</v>
      </c>
      <c r="D88" s="8" t="s">
        <v>396</v>
      </c>
      <c r="E88" s="8" t="s">
        <v>398</v>
      </c>
      <c r="F88" s="10" t="s">
        <v>406</v>
      </c>
      <c r="G88" s="16">
        <v>50</v>
      </c>
      <c r="H88" s="16">
        <v>13</v>
      </c>
    </row>
    <row r="89" spans="1:8" x14ac:dyDescent="0.35">
      <c r="A89" s="8" t="s">
        <v>97</v>
      </c>
      <c r="B89" s="8" t="s">
        <v>386</v>
      </c>
      <c r="C89" s="8" t="s">
        <v>394</v>
      </c>
      <c r="D89" s="8" t="s">
        <v>397</v>
      </c>
      <c r="E89" s="8" t="s">
        <v>398</v>
      </c>
      <c r="F89" s="10" t="s">
        <v>402</v>
      </c>
      <c r="G89" s="16">
        <v>0</v>
      </c>
      <c r="H89" s="16">
        <v>16</v>
      </c>
    </row>
    <row r="90" spans="1:8" x14ac:dyDescent="0.35">
      <c r="A90" s="8" t="s">
        <v>98</v>
      </c>
      <c r="B90" s="8" t="s">
        <v>386</v>
      </c>
      <c r="C90" s="8" t="s">
        <v>392</v>
      </c>
      <c r="D90" s="8" t="s">
        <v>397</v>
      </c>
      <c r="E90" s="8" t="s">
        <v>399</v>
      </c>
      <c r="F90" s="10" t="s">
        <v>404</v>
      </c>
      <c r="G90" s="16">
        <v>0</v>
      </c>
      <c r="H90" s="16">
        <v>16</v>
      </c>
    </row>
    <row r="91" spans="1:8" x14ac:dyDescent="0.35">
      <c r="A91" s="8" t="s">
        <v>99</v>
      </c>
      <c r="B91" s="8" t="s">
        <v>386</v>
      </c>
      <c r="C91" s="8" t="s">
        <v>393</v>
      </c>
      <c r="D91" s="8" t="s">
        <v>397</v>
      </c>
      <c r="E91" s="8" t="s">
        <v>400</v>
      </c>
      <c r="F91" s="10" t="s">
        <v>405</v>
      </c>
      <c r="G91" s="16">
        <v>0</v>
      </c>
      <c r="H91" s="16">
        <v>0</v>
      </c>
    </row>
    <row r="92" spans="1:8" x14ac:dyDescent="0.35">
      <c r="A92" s="8" t="s">
        <v>100</v>
      </c>
      <c r="B92" s="8" t="s">
        <v>388</v>
      </c>
      <c r="C92" s="8" t="s">
        <v>392</v>
      </c>
      <c r="D92" s="8" t="s">
        <v>397</v>
      </c>
      <c r="E92" s="8" t="s">
        <v>398</v>
      </c>
      <c r="F92" s="10" t="s">
        <v>405</v>
      </c>
      <c r="G92" s="16">
        <v>0</v>
      </c>
      <c r="H92" s="16">
        <v>13</v>
      </c>
    </row>
    <row r="93" spans="1:8" x14ac:dyDescent="0.35">
      <c r="A93" s="8" t="s">
        <v>101</v>
      </c>
      <c r="B93" s="8" t="s">
        <v>389</v>
      </c>
      <c r="C93" s="8" t="s">
        <v>391</v>
      </c>
      <c r="D93" s="8" t="s">
        <v>397</v>
      </c>
      <c r="E93" s="8" t="s">
        <v>398</v>
      </c>
      <c r="F93" s="10" t="s">
        <v>404</v>
      </c>
      <c r="G93" s="16">
        <v>0</v>
      </c>
      <c r="H93" s="16">
        <v>18</v>
      </c>
    </row>
    <row r="94" spans="1:8" x14ac:dyDescent="0.35">
      <c r="A94" s="8" t="s">
        <v>102</v>
      </c>
      <c r="B94" s="8" t="s">
        <v>387</v>
      </c>
      <c r="C94" s="8" t="s">
        <v>391</v>
      </c>
      <c r="D94" s="8" t="s">
        <v>395</v>
      </c>
      <c r="E94" s="8" t="s">
        <v>398</v>
      </c>
      <c r="F94" s="10" t="s">
        <v>402</v>
      </c>
      <c r="G94" s="16">
        <v>20</v>
      </c>
      <c r="H94" s="16">
        <v>9</v>
      </c>
    </row>
    <row r="95" spans="1:8" x14ac:dyDescent="0.35">
      <c r="A95" s="8" t="s">
        <v>103</v>
      </c>
      <c r="B95" s="8" t="s">
        <v>388</v>
      </c>
      <c r="C95" s="8" t="s">
        <v>392</v>
      </c>
      <c r="D95" s="8" t="s">
        <v>395</v>
      </c>
      <c r="E95" s="8" t="s">
        <v>401</v>
      </c>
      <c r="F95" s="10" t="s">
        <v>403</v>
      </c>
      <c r="G95" s="16">
        <v>20</v>
      </c>
      <c r="H95" s="16">
        <v>0</v>
      </c>
    </row>
    <row r="96" spans="1:8" x14ac:dyDescent="0.35">
      <c r="A96" s="8" t="s">
        <v>104</v>
      </c>
      <c r="B96" s="8" t="s">
        <v>385</v>
      </c>
      <c r="C96" s="8" t="s">
        <v>393</v>
      </c>
      <c r="D96" s="8" t="s">
        <v>395</v>
      </c>
      <c r="E96" s="8" t="s">
        <v>399</v>
      </c>
      <c r="F96" s="10" t="s">
        <v>402</v>
      </c>
      <c r="G96" s="16">
        <v>20</v>
      </c>
      <c r="H96" s="16">
        <v>16</v>
      </c>
    </row>
    <row r="97" spans="1:8" x14ac:dyDescent="0.35">
      <c r="A97" s="8" t="s">
        <v>105</v>
      </c>
      <c r="B97" s="8" t="s">
        <v>386</v>
      </c>
      <c r="C97" s="8" t="s">
        <v>392</v>
      </c>
      <c r="D97" s="8" t="s">
        <v>397</v>
      </c>
      <c r="E97" s="8" t="s">
        <v>400</v>
      </c>
      <c r="F97" s="10" t="s">
        <v>405</v>
      </c>
      <c r="G97" s="16">
        <v>0</v>
      </c>
      <c r="H97" s="16">
        <v>13</v>
      </c>
    </row>
    <row r="98" spans="1:8" x14ac:dyDescent="0.35">
      <c r="A98" s="8" t="s">
        <v>106</v>
      </c>
      <c r="B98" s="8" t="s">
        <v>385</v>
      </c>
      <c r="C98" s="8" t="s">
        <v>394</v>
      </c>
      <c r="D98" s="8" t="s">
        <v>395</v>
      </c>
      <c r="E98" s="8" t="s">
        <v>401</v>
      </c>
      <c r="F98" s="10" t="s">
        <v>403</v>
      </c>
      <c r="G98" s="16">
        <v>20</v>
      </c>
      <c r="H98" s="16">
        <v>7</v>
      </c>
    </row>
    <row r="99" spans="1:8" x14ac:dyDescent="0.35">
      <c r="A99" s="8" t="s">
        <v>107</v>
      </c>
      <c r="B99" s="8" t="s">
        <v>389</v>
      </c>
      <c r="C99" s="8" t="s">
        <v>391</v>
      </c>
      <c r="D99" s="8" t="s">
        <v>395</v>
      </c>
      <c r="E99" s="8" t="s">
        <v>401</v>
      </c>
      <c r="F99" s="10" t="s">
        <v>406</v>
      </c>
      <c r="G99" s="16">
        <v>20</v>
      </c>
      <c r="H99" s="16">
        <v>9</v>
      </c>
    </row>
    <row r="100" spans="1:8" x14ac:dyDescent="0.35">
      <c r="A100" s="8" t="s">
        <v>108</v>
      </c>
      <c r="B100" s="8" t="s">
        <v>386</v>
      </c>
      <c r="C100" s="8" t="s">
        <v>393</v>
      </c>
      <c r="D100" s="8" t="s">
        <v>397</v>
      </c>
      <c r="E100" s="8" t="s">
        <v>398</v>
      </c>
      <c r="F100" s="10" t="s">
        <v>405</v>
      </c>
      <c r="G100" s="16">
        <v>0</v>
      </c>
      <c r="H100" s="16">
        <v>10</v>
      </c>
    </row>
    <row r="101" spans="1:8" x14ac:dyDescent="0.35">
      <c r="A101" s="8" t="s">
        <v>109</v>
      </c>
      <c r="B101" s="8" t="s">
        <v>389</v>
      </c>
      <c r="C101" s="8" t="s">
        <v>394</v>
      </c>
      <c r="D101" s="8" t="s">
        <v>397</v>
      </c>
      <c r="E101" s="8" t="s">
        <v>400</v>
      </c>
      <c r="F101" s="10" t="s">
        <v>406</v>
      </c>
      <c r="G101" s="16">
        <v>0</v>
      </c>
      <c r="H101" s="16">
        <v>9</v>
      </c>
    </row>
    <row r="102" spans="1:8" x14ac:dyDescent="0.35">
      <c r="A102" s="8" t="s">
        <v>110</v>
      </c>
      <c r="B102" s="8" t="s">
        <v>389</v>
      </c>
      <c r="C102" s="8" t="s">
        <v>394</v>
      </c>
      <c r="D102" s="8" t="s">
        <v>395</v>
      </c>
      <c r="E102" s="8" t="s">
        <v>399</v>
      </c>
      <c r="F102" s="10" t="s">
        <v>406</v>
      </c>
      <c r="G102" s="16">
        <v>20</v>
      </c>
      <c r="H102" s="16">
        <v>2</v>
      </c>
    </row>
    <row r="103" spans="1:8" x14ac:dyDescent="0.35">
      <c r="A103" s="8" t="s">
        <v>111</v>
      </c>
      <c r="B103" s="8" t="s">
        <v>389</v>
      </c>
      <c r="C103" s="8" t="s">
        <v>393</v>
      </c>
      <c r="D103" s="8" t="s">
        <v>397</v>
      </c>
      <c r="E103" s="8" t="s">
        <v>400</v>
      </c>
      <c r="F103" s="10" t="s">
        <v>403</v>
      </c>
      <c r="G103" s="16">
        <v>0</v>
      </c>
      <c r="H103" s="16">
        <v>10</v>
      </c>
    </row>
    <row r="104" spans="1:8" x14ac:dyDescent="0.35">
      <c r="A104" s="8" t="s">
        <v>112</v>
      </c>
      <c r="B104" s="8" t="s">
        <v>389</v>
      </c>
      <c r="C104" s="8" t="s">
        <v>391</v>
      </c>
      <c r="D104" s="8" t="s">
        <v>395</v>
      </c>
      <c r="E104" s="8" t="s">
        <v>400</v>
      </c>
      <c r="F104" s="10" t="s">
        <v>406</v>
      </c>
      <c r="G104" s="16">
        <v>20</v>
      </c>
      <c r="H104" s="16">
        <v>7</v>
      </c>
    </row>
    <row r="105" spans="1:8" x14ac:dyDescent="0.35">
      <c r="A105" s="8" t="s">
        <v>113</v>
      </c>
      <c r="B105" s="8" t="s">
        <v>387</v>
      </c>
      <c r="C105" s="8" t="s">
        <v>390</v>
      </c>
      <c r="D105" s="8" t="s">
        <v>396</v>
      </c>
      <c r="E105" s="8" t="s">
        <v>398</v>
      </c>
      <c r="F105" s="10" t="s">
        <v>403</v>
      </c>
      <c r="G105" s="16">
        <v>50</v>
      </c>
      <c r="H105" s="16">
        <v>12</v>
      </c>
    </row>
    <row r="106" spans="1:8" x14ac:dyDescent="0.35">
      <c r="A106" s="8" t="s">
        <v>114</v>
      </c>
      <c r="B106" s="8" t="s">
        <v>389</v>
      </c>
      <c r="C106" s="8" t="s">
        <v>393</v>
      </c>
      <c r="D106" s="8" t="s">
        <v>395</v>
      </c>
      <c r="E106" s="8" t="s">
        <v>400</v>
      </c>
      <c r="F106" s="10" t="s">
        <v>406</v>
      </c>
      <c r="G106" s="16">
        <v>20</v>
      </c>
      <c r="H106" s="16">
        <v>19</v>
      </c>
    </row>
    <row r="107" spans="1:8" x14ac:dyDescent="0.35">
      <c r="A107" s="8" t="s">
        <v>115</v>
      </c>
      <c r="B107" s="8" t="s">
        <v>389</v>
      </c>
      <c r="C107" s="8" t="s">
        <v>392</v>
      </c>
      <c r="D107" s="8" t="s">
        <v>395</v>
      </c>
      <c r="E107" s="8" t="s">
        <v>401</v>
      </c>
      <c r="F107" s="10" t="s">
        <v>404</v>
      </c>
      <c r="G107" s="16">
        <v>20</v>
      </c>
      <c r="H107" s="16">
        <v>7</v>
      </c>
    </row>
    <row r="108" spans="1:8" x14ac:dyDescent="0.35">
      <c r="A108" s="8" t="s">
        <v>116</v>
      </c>
      <c r="B108" s="8" t="s">
        <v>387</v>
      </c>
      <c r="C108" s="8" t="s">
        <v>394</v>
      </c>
      <c r="D108" s="8" t="s">
        <v>395</v>
      </c>
      <c r="E108" s="8" t="s">
        <v>401</v>
      </c>
      <c r="F108" s="10" t="s">
        <v>402</v>
      </c>
      <c r="G108" s="16">
        <v>20</v>
      </c>
      <c r="H108" s="16">
        <v>12</v>
      </c>
    </row>
    <row r="109" spans="1:8" x14ac:dyDescent="0.35">
      <c r="A109" s="8" t="s">
        <v>117</v>
      </c>
      <c r="B109" s="8" t="s">
        <v>386</v>
      </c>
      <c r="C109" s="8" t="s">
        <v>391</v>
      </c>
      <c r="D109" s="8" t="s">
        <v>395</v>
      </c>
      <c r="E109" s="8" t="s">
        <v>399</v>
      </c>
      <c r="F109" s="10" t="s">
        <v>405</v>
      </c>
      <c r="G109" s="16">
        <v>20</v>
      </c>
      <c r="H109" s="16">
        <v>16</v>
      </c>
    </row>
    <row r="110" spans="1:8" x14ac:dyDescent="0.35">
      <c r="A110" s="8" t="s">
        <v>118</v>
      </c>
      <c r="B110" s="8" t="s">
        <v>389</v>
      </c>
      <c r="C110" s="8" t="s">
        <v>393</v>
      </c>
      <c r="D110" s="8" t="s">
        <v>396</v>
      </c>
      <c r="E110" s="8" t="s">
        <v>400</v>
      </c>
      <c r="F110" s="10" t="s">
        <v>405</v>
      </c>
      <c r="G110" s="16">
        <v>50</v>
      </c>
      <c r="H110" s="16">
        <v>6</v>
      </c>
    </row>
    <row r="111" spans="1:8" x14ac:dyDescent="0.35">
      <c r="A111" s="8" t="s">
        <v>119</v>
      </c>
      <c r="B111" s="8" t="s">
        <v>387</v>
      </c>
      <c r="C111" s="8" t="s">
        <v>392</v>
      </c>
      <c r="D111" s="8" t="s">
        <v>397</v>
      </c>
      <c r="E111" s="8" t="s">
        <v>401</v>
      </c>
      <c r="F111" s="10" t="s">
        <v>403</v>
      </c>
      <c r="G111" s="16">
        <v>0</v>
      </c>
      <c r="H111" s="16">
        <v>15</v>
      </c>
    </row>
    <row r="112" spans="1:8" x14ac:dyDescent="0.35">
      <c r="A112" s="8" t="s">
        <v>120</v>
      </c>
      <c r="B112" s="8" t="s">
        <v>388</v>
      </c>
      <c r="C112" s="8" t="s">
        <v>394</v>
      </c>
      <c r="D112" s="8" t="s">
        <v>395</v>
      </c>
      <c r="E112" s="8" t="s">
        <v>399</v>
      </c>
      <c r="F112" s="10" t="s">
        <v>406</v>
      </c>
      <c r="G112" s="16">
        <v>20</v>
      </c>
      <c r="H112" s="16">
        <v>7</v>
      </c>
    </row>
    <row r="113" spans="1:8" x14ac:dyDescent="0.35">
      <c r="A113" s="8" t="s">
        <v>121</v>
      </c>
      <c r="B113" s="8" t="s">
        <v>387</v>
      </c>
      <c r="C113" s="8" t="s">
        <v>390</v>
      </c>
      <c r="D113" s="8" t="s">
        <v>395</v>
      </c>
      <c r="E113" s="8" t="s">
        <v>399</v>
      </c>
      <c r="F113" s="10" t="s">
        <v>402</v>
      </c>
      <c r="G113" s="16">
        <v>20</v>
      </c>
      <c r="H113" s="16">
        <v>17</v>
      </c>
    </row>
    <row r="114" spans="1:8" x14ac:dyDescent="0.35">
      <c r="A114" s="8" t="s">
        <v>122</v>
      </c>
      <c r="B114" s="8" t="s">
        <v>385</v>
      </c>
      <c r="C114" s="8" t="s">
        <v>391</v>
      </c>
      <c r="D114" s="8" t="s">
        <v>395</v>
      </c>
      <c r="E114" s="8" t="s">
        <v>401</v>
      </c>
      <c r="F114" s="10" t="s">
        <v>402</v>
      </c>
      <c r="G114" s="16">
        <v>20</v>
      </c>
      <c r="H114" s="16">
        <v>13</v>
      </c>
    </row>
    <row r="115" spans="1:8" x14ac:dyDescent="0.35">
      <c r="A115" s="8" t="s">
        <v>123</v>
      </c>
      <c r="B115" s="8" t="s">
        <v>386</v>
      </c>
      <c r="C115" s="8" t="s">
        <v>393</v>
      </c>
      <c r="D115" s="8" t="s">
        <v>397</v>
      </c>
      <c r="E115" s="8" t="s">
        <v>400</v>
      </c>
      <c r="F115" s="10" t="s">
        <v>402</v>
      </c>
      <c r="G115" s="16">
        <v>0</v>
      </c>
      <c r="H115" s="16">
        <v>1</v>
      </c>
    </row>
    <row r="116" spans="1:8" x14ac:dyDescent="0.35">
      <c r="A116" s="8" t="s">
        <v>124</v>
      </c>
      <c r="B116" s="8" t="s">
        <v>387</v>
      </c>
      <c r="C116" s="8" t="s">
        <v>392</v>
      </c>
      <c r="D116" s="8" t="s">
        <v>396</v>
      </c>
      <c r="E116" s="8" t="s">
        <v>400</v>
      </c>
      <c r="F116" s="10" t="s">
        <v>402</v>
      </c>
      <c r="G116" s="16">
        <v>50</v>
      </c>
      <c r="H116" s="16">
        <v>6</v>
      </c>
    </row>
    <row r="117" spans="1:8" x14ac:dyDescent="0.35">
      <c r="A117" s="8" t="s">
        <v>125</v>
      </c>
      <c r="B117" s="8" t="s">
        <v>387</v>
      </c>
      <c r="C117" s="8" t="s">
        <v>390</v>
      </c>
      <c r="D117" s="8" t="s">
        <v>396</v>
      </c>
      <c r="E117" s="8" t="s">
        <v>398</v>
      </c>
      <c r="F117" s="10" t="s">
        <v>405</v>
      </c>
      <c r="G117" s="16">
        <v>50</v>
      </c>
      <c r="H117" s="16">
        <v>3</v>
      </c>
    </row>
    <row r="118" spans="1:8" x14ac:dyDescent="0.35">
      <c r="A118" s="8" t="s">
        <v>126</v>
      </c>
      <c r="B118" s="8" t="s">
        <v>388</v>
      </c>
      <c r="C118" s="8" t="s">
        <v>391</v>
      </c>
      <c r="D118" s="8" t="s">
        <v>396</v>
      </c>
      <c r="E118" s="8" t="s">
        <v>401</v>
      </c>
      <c r="F118" s="10" t="s">
        <v>406</v>
      </c>
      <c r="G118" s="16">
        <v>50</v>
      </c>
      <c r="H118" s="16">
        <v>6</v>
      </c>
    </row>
    <row r="119" spans="1:8" x14ac:dyDescent="0.35">
      <c r="A119" s="8" t="s">
        <v>127</v>
      </c>
      <c r="B119" s="8" t="s">
        <v>388</v>
      </c>
      <c r="C119" s="8" t="s">
        <v>393</v>
      </c>
      <c r="D119" s="8" t="s">
        <v>396</v>
      </c>
      <c r="E119" s="8" t="s">
        <v>401</v>
      </c>
      <c r="F119" s="10" t="s">
        <v>403</v>
      </c>
      <c r="G119" s="16">
        <v>50</v>
      </c>
      <c r="H119" s="16">
        <v>19</v>
      </c>
    </row>
    <row r="120" spans="1:8" x14ac:dyDescent="0.35">
      <c r="A120" s="8" t="s">
        <v>128</v>
      </c>
      <c r="B120" s="8" t="s">
        <v>386</v>
      </c>
      <c r="C120" s="8" t="s">
        <v>393</v>
      </c>
      <c r="D120" s="8" t="s">
        <v>396</v>
      </c>
      <c r="E120" s="8" t="s">
        <v>400</v>
      </c>
      <c r="F120" s="10" t="s">
        <v>405</v>
      </c>
      <c r="G120" s="16">
        <v>50</v>
      </c>
      <c r="H120" s="16">
        <v>3</v>
      </c>
    </row>
    <row r="121" spans="1:8" x14ac:dyDescent="0.35">
      <c r="A121" s="8" t="s">
        <v>129</v>
      </c>
      <c r="B121" s="8" t="s">
        <v>387</v>
      </c>
      <c r="C121" s="8" t="s">
        <v>394</v>
      </c>
      <c r="D121" s="8" t="s">
        <v>397</v>
      </c>
      <c r="E121" s="8" t="s">
        <v>398</v>
      </c>
      <c r="F121" s="10" t="s">
        <v>405</v>
      </c>
      <c r="G121" s="16">
        <v>0</v>
      </c>
      <c r="H121" s="16">
        <v>8</v>
      </c>
    </row>
    <row r="122" spans="1:8" x14ac:dyDescent="0.35">
      <c r="A122" s="8" t="s">
        <v>130</v>
      </c>
      <c r="B122" s="8" t="s">
        <v>389</v>
      </c>
      <c r="C122" s="8" t="s">
        <v>392</v>
      </c>
      <c r="D122" s="8" t="s">
        <v>397</v>
      </c>
      <c r="E122" s="8" t="s">
        <v>398</v>
      </c>
      <c r="F122" s="10" t="s">
        <v>405</v>
      </c>
      <c r="G122" s="16">
        <v>0</v>
      </c>
      <c r="H122" s="16">
        <v>3</v>
      </c>
    </row>
    <row r="123" spans="1:8" x14ac:dyDescent="0.35">
      <c r="A123" s="8" t="s">
        <v>131</v>
      </c>
      <c r="B123" s="8" t="s">
        <v>385</v>
      </c>
      <c r="C123" s="8" t="s">
        <v>392</v>
      </c>
      <c r="D123" s="8" t="s">
        <v>395</v>
      </c>
      <c r="E123" s="8" t="s">
        <v>400</v>
      </c>
      <c r="F123" s="10" t="s">
        <v>403</v>
      </c>
      <c r="G123" s="16">
        <v>20</v>
      </c>
      <c r="H123" s="16">
        <v>16</v>
      </c>
    </row>
    <row r="124" spans="1:8" x14ac:dyDescent="0.35">
      <c r="A124" s="8" t="s">
        <v>132</v>
      </c>
      <c r="B124" s="8" t="s">
        <v>388</v>
      </c>
      <c r="C124" s="8" t="s">
        <v>390</v>
      </c>
      <c r="D124" s="8" t="s">
        <v>396</v>
      </c>
      <c r="E124" s="8" t="s">
        <v>401</v>
      </c>
      <c r="F124" s="10" t="s">
        <v>403</v>
      </c>
      <c r="G124" s="16">
        <v>50</v>
      </c>
      <c r="H124" s="16">
        <v>15</v>
      </c>
    </row>
    <row r="125" spans="1:8" x14ac:dyDescent="0.35">
      <c r="A125" s="8" t="s">
        <v>133</v>
      </c>
      <c r="B125" s="8" t="s">
        <v>387</v>
      </c>
      <c r="C125" s="8" t="s">
        <v>392</v>
      </c>
      <c r="D125" s="8" t="s">
        <v>395</v>
      </c>
      <c r="E125" s="8" t="s">
        <v>399</v>
      </c>
      <c r="F125" s="10" t="s">
        <v>406</v>
      </c>
      <c r="G125" s="16">
        <v>20</v>
      </c>
      <c r="H125" s="16">
        <v>13</v>
      </c>
    </row>
    <row r="126" spans="1:8" x14ac:dyDescent="0.35">
      <c r="A126" s="8" t="s">
        <v>134</v>
      </c>
      <c r="B126" s="8" t="s">
        <v>385</v>
      </c>
      <c r="C126" s="8" t="s">
        <v>394</v>
      </c>
      <c r="D126" s="8" t="s">
        <v>395</v>
      </c>
      <c r="E126" s="8" t="s">
        <v>401</v>
      </c>
      <c r="F126" s="10" t="s">
        <v>405</v>
      </c>
      <c r="G126" s="16">
        <v>20</v>
      </c>
      <c r="H126" s="16">
        <v>14</v>
      </c>
    </row>
    <row r="127" spans="1:8" x14ac:dyDescent="0.35">
      <c r="A127" s="8" t="s">
        <v>135</v>
      </c>
      <c r="B127" s="8" t="s">
        <v>389</v>
      </c>
      <c r="C127" s="8" t="s">
        <v>390</v>
      </c>
      <c r="D127" s="8" t="s">
        <v>396</v>
      </c>
      <c r="E127" s="8" t="s">
        <v>401</v>
      </c>
      <c r="F127" s="10" t="s">
        <v>406</v>
      </c>
      <c r="G127" s="16">
        <v>50</v>
      </c>
      <c r="H127" s="16">
        <v>3</v>
      </c>
    </row>
    <row r="128" spans="1:8" x14ac:dyDescent="0.35">
      <c r="A128" s="8" t="s">
        <v>136</v>
      </c>
      <c r="B128" s="8" t="s">
        <v>389</v>
      </c>
      <c r="C128" s="8" t="s">
        <v>394</v>
      </c>
      <c r="D128" s="8" t="s">
        <v>397</v>
      </c>
      <c r="E128" s="8" t="s">
        <v>400</v>
      </c>
      <c r="F128" s="10" t="s">
        <v>405</v>
      </c>
      <c r="G128" s="16">
        <v>0</v>
      </c>
      <c r="H128" s="16">
        <v>2</v>
      </c>
    </row>
    <row r="129" spans="1:8" x14ac:dyDescent="0.35">
      <c r="A129" s="8" t="s">
        <v>137</v>
      </c>
      <c r="B129" s="8" t="s">
        <v>386</v>
      </c>
      <c r="C129" s="8" t="s">
        <v>390</v>
      </c>
      <c r="D129" s="8" t="s">
        <v>396</v>
      </c>
      <c r="E129" s="8" t="s">
        <v>398</v>
      </c>
      <c r="F129" s="10" t="s">
        <v>406</v>
      </c>
      <c r="G129" s="16">
        <v>50</v>
      </c>
      <c r="H129" s="16">
        <v>14</v>
      </c>
    </row>
    <row r="130" spans="1:8" x14ac:dyDescent="0.35">
      <c r="A130" s="8" t="s">
        <v>138</v>
      </c>
      <c r="B130" s="8" t="s">
        <v>386</v>
      </c>
      <c r="C130" s="8" t="s">
        <v>394</v>
      </c>
      <c r="D130" s="8" t="s">
        <v>396</v>
      </c>
      <c r="E130" s="8" t="s">
        <v>401</v>
      </c>
      <c r="F130" s="10" t="s">
        <v>404</v>
      </c>
      <c r="G130" s="16">
        <v>50</v>
      </c>
      <c r="H130" s="16">
        <v>1</v>
      </c>
    </row>
    <row r="131" spans="1:8" x14ac:dyDescent="0.35">
      <c r="A131" s="8" t="s">
        <v>139</v>
      </c>
      <c r="B131" s="8" t="s">
        <v>387</v>
      </c>
      <c r="C131" s="8" t="s">
        <v>390</v>
      </c>
      <c r="D131" s="8" t="s">
        <v>396</v>
      </c>
      <c r="E131" s="8" t="s">
        <v>398</v>
      </c>
      <c r="F131" s="10" t="s">
        <v>402</v>
      </c>
      <c r="G131" s="16">
        <v>50</v>
      </c>
      <c r="H131" s="16">
        <v>4</v>
      </c>
    </row>
    <row r="132" spans="1:8" x14ac:dyDescent="0.35">
      <c r="A132" s="8" t="s">
        <v>140</v>
      </c>
      <c r="B132" s="8" t="s">
        <v>386</v>
      </c>
      <c r="C132" s="8" t="s">
        <v>391</v>
      </c>
      <c r="D132" s="8" t="s">
        <v>396</v>
      </c>
      <c r="E132" s="8" t="s">
        <v>398</v>
      </c>
      <c r="F132" s="10" t="s">
        <v>404</v>
      </c>
      <c r="G132" s="16">
        <v>50</v>
      </c>
      <c r="H132" s="16">
        <v>2</v>
      </c>
    </row>
    <row r="133" spans="1:8" x14ac:dyDescent="0.35">
      <c r="A133" s="8" t="s">
        <v>141</v>
      </c>
      <c r="B133" s="8" t="s">
        <v>385</v>
      </c>
      <c r="C133" s="8" t="s">
        <v>390</v>
      </c>
      <c r="D133" s="8" t="s">
        <v>397</v>
      </c>
      <c r="E133" s="8" t="s">
        <v>398</v>
      </c>
      <c r="F133" s="10" t="s">
        <v>406</v>
      </c>
      <c r="G133" s="16">
        <v>0</v>
      </c>
      <c r="H133" s="16">
        <v>19</v>
      </c>
    </row>
    <row r="134" spans="1:8" x14ac:dyDescent="0.35">
      <c r="A134" s="8" t="s">
        <v>142</v>
      </c>
      <c r="B134" s="8" t="s">
        <v>389</v>
      </c>
      <c r="C134" s="8" t="s">
        <v>393</v>
      </c>
      <c r="D134" s="8" t="s">
        <v>395</v>
      </c>
      <c r="E134" s="8" t="s">
        <v>401</v>
      </c>
      <c r="F134" s="10" t="s">
        <v>405</v>
      </c>
      <c r="G134" s="16">
        <v>20</v>
      </c>
      <c r="H134" s="16">
        <v>11</v>
      </c>
    </row>
    <row r="135" spans="1:8" x14ac:dyDescent="0.35">
      <c r="A135" s="8" t="s">
        <v>143</v>
      </c>
      <c r="B135" s="8" t="s">
        <v>388</v>
      </c>
      <c r="C135" s="8" t="s">
        <v>392</v>
      </c>
      <c r="D135" s="8" t="s">
        <v>395</v>
      </c>
      <c r="E135" s="8" t="s">
        <v>398</v>
      </c>
      <c r="F135" s="10" t="s">
        <v>403</v>
      </c>
      <c r="G135" s="16">
        <v>20</v>
      </c>
      <c r="H135" s="16">
        <v>11</v>
      </c>
    </row>
    <row r="136" spans="1:8" x14ac:dyDescent="0.35">
      <c r="A136" s="8" t="s">
        <v>144</v>
      </c>
      <c r="B136" s="8" t="s">
        <v>388</v>
      </c>
      <c r="C136" s="8" t="s">
        <v>394</v>
      </c>
      <c r="D136" s="8" t="s">
        <v>395</v>
      </c>
      <c r="E136" s="8" t="s">
        <v>401</v>
      </c>
      <c r="F136" s="10" t="s">
        <v>406</v>
      </c>
      <c r="G136" s="16">
        <v>20</v>
      </c>
      <c r="H136" s="16">
        <v>10</v>
      </c>
    </row>
    <row r="137" spans="1:8" x14ac:dyDescent="0.35">
      <c r="A137" s="8" t="s">
        <v>145</v>
      </c>
      <c r="B137" s="8" t="s">
        <v>389</v>
      </c>
      <c r="C137" s="8" t="s">
        <v>392</v>
      </c>
      <c r="D137" s="8" t="s">
        <v>396</v>
      </c>
      <c r="E137" s="8" t="s">
        <v>401</v>
      </c>
      <c r="F137" s="10" t="s">
        <v>403</v>
      </c>
      <c r="G137" s="16">
        <v>50</v>
      </c>
      <c r="H137" s="16">
        <v>5</v>
      </c>
    </row>
    <row r="138" spans="1:8" x14ac:dyDescent="0.35">
      <c r="A138" s="8" t="s">
        <v>146</v>
      </c>
      <c r="B138" s="8" t="s">
        <v>385</v>
      </c>
      <c r="C138" s="8" t="s">
        <v>392</v>
      </c>
      <c r="D138" s="8" t="s">
        <v>396</v>
      </c>
      <c r="E138" s="8" t="s">
        <v>401</v>
      </c>
      <c r="F138" s="10" t="s">
        <v>405</v>
      </c>
      <c r="G138" s="16">
        <v>50</v>
      </c>
      <c r="H138" s="16">
        <v>5</v>
      </c>
    </row>
    <row r="139" spans="1:8" x14ac:dyDescent="0.35">
      <c r="A139" s="8" t="s">
        <v>147</v>
      </c>
      <c r="B139" s="8" t="s">
        <v>385</v>
      </c>
      <c r="C139" s="8" t="s">
        <v>390</v>
      </c>
      <c r="D139" s="8" t="s">
        <v>395</v>
      </c>
      <c r="E139" s="8" t="s">
        <v>401</v>
      </c>
      <c r="F139" s="10" t="s">
        <v>406</v>
      </c>
      <c r="G139" s="16">
        <v>20</v>
      </c>
      <c r="H139" s="16">
        <v>15</v>
      </c>
    </row>
    <row r="140" spans="1:8" x14ac:dyDescent="0.35">
      <c r="A140" s="8" t="s">
        <v>148</v>
      </c>
      <c r="B140" s="8" t="s">
        <v>385</v>
      </c>
      <c r="C140" s="8" t="s">
        <v>393</v>
      </c>
      <c r="D140" s="8" t="s">
        <v>397</v>
      </c>
      <c r="E140" s="8" t="s">
        <v>398</v>
      </c>
      <c r="F140" s="10" t="s">
        <v>403</v>
      </c>
      <c r="G140" s="16">
        <v>0</v>
      </c>
      <c r="H140" s="16">
        <v>14</v>
      </c>
    </row>
    <row r="141" spans="1:8" x14ac:dyDescent="0.35">
      <c r="A141" s="8" t="s">
        <v>149</v>
      </c>
      <c r="B141" s="8" t="s">
        <v>387</v>
      </c>
      <c r="C141" s="8" t="s">
        <v>392</v>
      </c>
      <c r="D141" s="8" t="s">
        <v>395</v>
      </c>
      <c r="E141" s="8" t="s">
        <v>398</v>
      </c>
      <c r="F141" s="10" t="s">
        <v>405</v>
      </c>
      <c r="G141" s="16">
        <v>20</v>
      </c>
      <c r="H141" s="16">
        <v>2</v>
      </c>
    </row>
    <row r="142" spans="1:8" x14ac:dyDescent="0.35">
      <c r="A142" s="8" t="s">
        <v>150</v>
      </c>
      <c r="B142" s="8" t="s">
        <v>388</v>
      </c>
      <c r="C142" s="8" t="s">
        <v>393</v>
      </c>
      <c r="D142" s="8" t="s">
        <v>395</v>
      </c>
      <c r="E142" s="8" t="s">
        <v>399</v>
      </c>
      <c r="F142" s="10" t="s">
        <v>404</v>
      </c>
      <c r="G142" s="16">
        <v>20</v>
      </c>
      <c r="H142" s="16">
        <v>8</v>
      </c>
    </row>
    <row r="143" spans="1:8" x14ac:dyDescent="0.35">
      <c r="A143" s="8" t="s">
        <v>151</v>
      </c>
      <c r="B143" s="8" t="s">
        <v>388</v>
      </c>
      <c r="C143" s="8" t="s">
        <v>391</v>
      </c>
      <c r="D143" s="8" t="s">
        <v>395</v>
      </c>
      <c r="E143" s="8" t="s">
        <v>400</v>
      </c>
      <c r="F143" s="10" t="s">
        <v>405</v>
      </c>
      <c r="G143" s="16">
        <v>20</v>
      </c>
      <c r="H143" s="16">
        <v>15</v>
      </c>
    </row>
    <row r="144" spans="1:8" x14ac:dyDescent="0.35">
      <c r="A144" s="8" t="s">
        <v>152</v>
      </c>
      <c r="B144" s="8" t="s">
        <v>386</v>
      </c>
      <c r="C144" s="8" t="s">
        <v>391</v>
      </c>
      <c r="D144" s="8" t="s">
        <v>396</v>
      </c>
      <c r="E144" s="8" t="s">
        <v>398</v>
      </c>
      <c r="F144" s="10" t="s">
        <v>405</v>
      </c>
      <c r="G144" s="16">
        <v>50</v>
      </c>
      <c r="H144" s="16">
        <v>12</v>
      </c>
    </row>
    <row r="145" spans="1:8" x14ac:dyDescent="0.35">
      <c r="A145" s="8" t="s">
        <v>153</v>
      </c>
      <c r="B145" s="8" t="s">
        <v>385</v>
      </c>
      <c r="C145" s="8" t="s">
        <v>390</v>
      </c>
      <c r="D145" s="8" t="s">
        <v>396</v>
      </c>
      <c r="E145" s="8" t="s">
        <v>400</v>
      </c>
      <c r="F145" s="10" t="s">
        <v>406</v>
      </c>
      <c r="G145" s="16">
        <v>50</v>
      </c>
      <c r="H145" s="16">
        <v>7</v>
      </c>
    </row>
    <row r="146" spans="1:8" x14ac:dyDescent="0.35">
      <c r="A146" s="8" t="s">
        <v>154</v>
      </c>
      <c r="B146" s="8" t="s">
        <v>386</v>
      </c>
      <c r="C146" s="8" t="s">
        <v>390</v>
      </c>
      <c r="D146" s="8" t="s">
        <v>395</v>
      </c>
      <c r="E146" s="8" t="s">
        <v>400</v>
      </c>
      <c r="F146" s="10" t="s">
        <v>404</v>
      </c>
      <c r="G146" s="16">
        <v>20</v>
      </c>
      <c r="H146" s="16">
        <v>16</v>
      </c>
    </row>
    <row r="147" spans="1:8" x14ac:dyDescent="0.35">
      <c r="A147" s="8" t="s">
        <v>155</v>
      </c>
      <c r="B147" s="8" t="s">
        <v>387</v>
      </c>
      <c r="C147" s="8" t="s">
        <v>392</v>
      </c>
      <c r="D147" s="8" t="s">
        <v>395</v>
      </c>
      <c r="E147" s="8" t="s">
        <v>401</v>
      </c>
      <c r="F147" s="10" t="s">
        <v>406</v>
      </c>
      <c r="G147" s="16">
        <v>20</v>
      </c>
      <c r="H147" s="16">
        <v>16</v>
      </c>
    </row>
    <row r="148" spans="1:8" x14ac:dyDescent="0.35">
      <c r="A148" s="8" t="s">
        <v>156</v>
      </c>
      <c r="B148" s="8" t="s">
        <v>388</v>
      </c>
      <c r="C148" s="8" t="s">
        <v>391</v>
      </c>
      <c r="D148" s="8" t="s">
        <v>395</v>
      </c>
      <c r="E148" s="8" t="s">
        <v>398</v>
      </c>
      <c r="F148" s="10" t="s">
        <v>405</v>
      </c>
      <c r="G148" s="16">
        <v>20</v>
      </c>
      <c r="H148" s="16">
        <v>18</v>
      </c>
    </row>
    <row r="149" spans="1:8" x14ac:dyDescent="0.35">
      <c r="A149" s="8" t="s">
        <v>157</v>
      </c>
      <c r="B149" s="8" t="s">
        <v>387</v>
      </c>
      <c r="C149" s="8" t="s">
        <v>391</v>
      </c>
      <c r="D149" s="8" t="s">
        <v>396</v>
      </c>
      <c r="E149" s="8" t="s">
        <v>401</v>
      </c>
      <c r="F149" s="10" t="s">
        <v>405</v>
      </c>
      <c r="G149" s="16">
        <v>50</v>
      </c>
      <c r="H149" s="16">
        <v>5</v>
      </c>
    </row>
    <row r="150" spans="1:8" x14ac:dyDescent="0.35">
      <c r="A150" s="8" t="s">
        <v>158</v>
      </c>
      <c r="B150" s="8" t="s">
        <v>388</v>
      </c>
      <c r="C150" s="8" t="s">
        <v>390</v>
      </c>
      <c r="D150" s="8" t="s">
        <v>397</v>
      </c>
      <c r="E150" s="8" t="s">
        <v>401</v>
      </c>
      <c r="F150" s="10" t="s">
        <v>406</v>
      </c>
      <c r="G150" s="16">
        <v>0</v>
      </c>
      <c r="H150" s="16">
        <v>7</v>
      </c>
    </row>
    <row r="151" spans="1:8" x14ac:dyDescent="0.35">
      <c r="A151" s="8" t="s">
        <v>159</v>
      </c>
      <c r="B151" s="8" t="s">
        <v>386</v>
      </c>
      <c r="C151" s="8" t="s">
        <v>393</v>
      </c>
      <c r="D151" s="8" t="s">
        <v>395</v>
      </c>
      <c r="E151" s="8" t="s">
        <v>399</v>
      </c>
      <c r="F151" s="10" t="s">
        <v>402</v>
      </c>
      <c r="G151" s="16">
        <v>20</v>
      </c>
      <c r="H151" s="16">
        <v>19</v>
      </c>
    </row>
    <row r="152" spans="1:8" x14ac:dyDescent="0.35">
      <c r="A152" s="8" t="s">
        <v>160</v>
      </c>
      <c r="B152" s="8" t="s">
        <v>387</v>
      </c>
      <c r="C152" s="8" t="s">
        <v>390</v>
      </c>
      <c r="D152" s="8" t="s">
        <v>395</v>
      </c>
      <c r="E152" s="8" t="s">
        <v>400</v>
      </c>
      <c r="F152" s="10" t="s">
        <v>405</v>
      </c>
      <c r="G152" s="16">
        <v>20</v>
      </c>
      <c r="H152" s="16">
        <v>12</v>
      </c>
    </row>
    <row r="153" spans="1:8" x14ac:dyDescent="0.35">
      <c r="A153" s="8" t="s">
        <v>161</v>
      </c>
      <c r="B153" s="8" t="s">
        <v>387</v>
      </c>
      <c r="C153" s="8" t="s">
        <v>394</v>
      </c>
      <c r="D153" s="8" t="s">
        <v>397</v>
      </c>
      <c r="E153" s="8" t="s">
        <v>401</v>
      </c>
      <c r="F153" s="10" t="s">
        <v>404</v>
      </c>
      <c r="G153" s="16">
        <v>0</v>
      </c>
      <c r="H153" s="16">
        <v>20</v>
      </c>
    </row>
    <row r="154" spans="1:8" x14ac:dyDescent="0.35">
      <c r="A154" s="8" t="s">
        <v>162</v>
      </c>
      <c r="B154" s="8" t="s">
        <v>386</v>
      </c>
      <c r="C154" s="8" t="s">
        <v>391</v>
      </c>
      <c r="D154" s="8" t="s">
        <v>396</v>
      </c>
      <c r="E154" s="8" t="s">
        <v>399</v>
      </c>
      <c r="F154" s="10" t="s">
        <v>406</v>
      </c>
      <c r="G154" s="16">
        <v>50</v>
      </c>
      <c r="H154" s="16">
        <v>16</v>
      </c>
    </row>
    <row r="155" spans="1:8" x14ac:dyDescent="0.35">
      <c r="A155" s="8" t="s">
        <v>163</v>
      </c>
      <c r="B155" s="8" t="s">
        <v>388</v>
      </c>
      <c r="C155" s="8" t="s">
        <v>393</v>
      </c>
      <c r="D155" s="8" t="s">
        <v>395</v>
      </c>
      <c r="E155" s="8" t="s">
        <v>400</v>
      </c>
      <c r="F155" s="10" t="s">
        <v>403</v>
      </c>
      <c r="G155" s="16">
        <v>20</v>
      </c>
      <c r="H155" s="16">
        <v>1</v>
      </c>
    </row>
    <row r="156" spans="1:8" x14ac:dyDescent="0.35">
      <c r="A156" s="8" t="s">
        <v>164</v>
      </c>
      <c r="B156" s="8" t="s">
        <v>386</v>
      </c>
      <c r="C156" s="8" t="s">
        <v>390</v>
      </c>
      <c r="D156" s="8" t="s">
        <v>397</v>
      </c>
      <c r="E156" s="8" t="s">
        <v>401</v>
      </c>
      <c r="F156" s="10" t="s">
        <v>404</v>
      </c>
      <c r="G156" s="16">
        <v>0</v>
      </c>
      <c r="H156" s="16">
        <v>13</v>
      </c>
    </row>
    <row r="157" spans="1:8" x14ac:dyDescent="0.35">
      <c r="A157" s="8" t="s">
        <v>165</v>
      </c>
      <c r="B157" s="8" t="s">
        <v>388</v>
      </c>
      <c r="C157" s="8" t="s">
        <v>390</v>
      </c>
      <c r="D157" s="8" t="s">
        <v>397</v>
      </c>
      <c r="E157" s="8" t="s">
        <v>401</v>
      </c>
      <c r="F157" s="10" t="s">
        <v>406</v>
      </c>
      <c r="G157" s="16">
        <v>0</v>
      </c>
      <c r="H157" s="16">
        <v>14</v>
      </c>
    </row>
    <row r="158" spans="1:8" x14ac:dyDescent="0.35">
      <c r="A158" s="8" t="s">
        <v>166</v>
      </c>
      <c r="B158" s="8" t="s">
        <v>389</v>
      </c>
      <c r="C158" s="8" t="s">
        <v>393</v>
      </c>
      <c r="D158" s="8" t="s">
        <v>397</v>
      </c>
      <c r="E158" s="8" t="s">
        <v>401</v>
      </c>
      <c r="F158" s="10" t="s">
        <v>405</v>
      </c>
      <c r="G158" s="16">
        <v>0</v>
      </c>
      <c r="H158" s="16">
        <v>0</v>
      </c>
    </row>
    <row r="159" spans="1:8" x14ac:dyDescent="0.35">
      <c r="A159" s="8" t="s">
        <v>167</v>
      </c>
      <c r="B159" s="8" t="s">
        <v>387</v>
      </c>
      <c r="C159" s="8" t="s">
        <v>394</v>
      </c>
      <c r="D159" s="8" t="s">
        <v>397</v>
      </c>
      <c r="E159" s="8" t="s">
        <v>399</v>
      </c>
      <c r="F159" s="10" t="s">
        <v>403</v>
      </c>
      <c r="G159" s="16">
        <v>0</v>
      </c>
      <c r="H159" s="16">
        <v>10</v>
      </c>
    </row>
    <row r="160" spans="1:8" x14ac:dyDescent="0.35">
      <c r="A160" s="8" t="s">
        <v>168</v>
      </c>
      <c r="B160" s="8" t="s">
        <v>386</v>
      </c>
      <c r="C160" s="8" t="s">
        <v>391</v>
      </c>
      <c r="D160" s="8" t="s">
        <v>395</v>
      </c>
      <c r="E160" s="8" t="s">
        <v>398</v>
      </c>
      <c r="F160" s="10" t="s">
        <v>404</v>
      </c>
      <c r="G160" s="16">
        <v>20</v>
      </c>
      <c r="H160" s="16">
        <v>10</v>
      </c>
    </row>
    <row r="161" spans="1:8" x14ac:dyDescent="0.35">
      <c r="A161" s="8" t="s">
        <v>169</v>
      </c>
      <c r="B161" s="8" t="s">
        <v>385</v>
      </c>
      <c r="C161" s="8" t="s">
        <v>392</v>
      </c>
      <c r="D161" s="8" t="s">
        <v>396</v>
      </c>
      <c r="E161" s="8" t="s">
        <v>400</v>
      </c>
      <c r="F161" s="10" t="s">
        <v>404</v>
      </c>
      <c r="G161" s="16">
        <v>50</v>
      </c>
      <c r="H161" s="16">
        <v>15</v>
      </c>
    </row>
    <row r="162" spans="1:8" x14ac:dyDescent="0.35">
      <c r="A162" s="8" t="s">
        <v>170</v>
      </c>
      <c r="B162" s="8" t="s">
        <v>385</v>
      </c>
      <c r="C162" s="8" t="s">
        <v>393</v>
      </c>
      <c r="D162" s="8" t="s">
        <v>397</v>
      </c>
      <c r="E162" s="8" t="s">
        <v>401</v>
      </c>
      <c r="F162" s="10" t="s">
        <v>406</v>
      </c>
      <c r="G162" s="16">
        <v>0</v>
      </c>
      <c r="H162" s="16">
        <v>16</v>
      </c>
    </row>
    <row r="163" spans="1:8" x14ac:dyDescent="0.35">
      <c r="A163" s="8" t="s">
        <v>171</v>
      </c>
      <c r="B163" s="8" t="s">
        <v>387</v>
      </c>
      <c r="C163" s="8" t="s">
        <v>391</v>
      </c>
      <c r="D163" s="8" t="s">
        <v>395</v>
      </c>
      <c r="E163" s="8" t="s">
        <v>401</v>
      </c>
      <c r="F163" s="10" t="s">
        <v>406</v>
      </c>
      <c r="G163" s="16">
        <v>20</v>
      </c>
      <c r="H163" s="16">
        <v>3</v>
      </c>
    </row>
    <row r="164" spans="1:8" x14ac:dyDescent="0.35">
      <c r="A164" s="8" t="s">
        <v>172</v>
      </c>
      <c r="B164" s="8" t="s">
        <v>389</v>
      </c>
      <c r="C164" s="8" t="s">
        <v>391</v>
      </c>
      <c r="D164" s="8" t="s">
        <v>397</v>
      </c>
      <c r="E164" s="8" t="s">
        <v>401</v>
      </c>
      <c r="F164" s="10" t="s">
        <v>402</v>
      </c>
      <c r="G164" s="16">
        <v>0</v>
      </c>
      <c r="H164" s="16">
        <v>1</v>
      </c>
    </row>
    <row r="165" spans="1:8" x14ac:dyDescent="0.35">
      <c r="A165" s="8" t="s">
        <v>173</v>
      </c>
      <c r="B165" s="8" t="s">
        <v>386</v>
      </c>
      <c r="C165" s="8" t="s">
        <v>393</v>
      </c>
      <c r="D165" s="8" t="s">
        <v>396</v>
      </c>
      <c r="E165" s="8" t="s">
        <v>399</v>
      </c>
      <c r="F165" s="10" t="s">
        <v>405</v>
      </c>
      <c r="G165" s="16">
        <v>50</v>
      </c>
      <c r="H165" s="16">
        <v>14</v>
      </c>
    </row>
    <row r="166" spans="1:8" x14ac:dyDescent="0.35">
      <c r="A166" s="8" t="s">
        <v>174</v>
      </c>
      <c r="B166" s="8" t="s">
        <v>389</v>
      </c>
      <c r="C166" s="8" t="s">
        <v>394</v>
      </c>
      <c r="D166" s="8" t="s">
        <v>395</v>
      </c>
      <c r="E166" s="8" t="s">
        <v>400</v>
      </c>
      <c r="F166" s="10" t="s">
        <v>406</v>
      </c>
      <c r="G166" s="16">
        <v>20</v>
      </c>
      <c r="H166" s="16">
        <v>18</v>
      </c>
    </row>
    <row r="167" spans="1:8" x14ac:dyDescent="0.35">
      <c r="A167" s="8" t="s">
        <v>175</v>
      </c>
      <c r="B167" s="8" t="s">
        <v>385</v>
      </c>
      <c r="C167" s="8" t="s">
        <v>390</v>
      </c>
      <c r="D167" s="8" t="s">
        <v>397</v>
      </c>
      <c r="E167" s="8" t="s">
        <v>399</v>
      </c>
      <c r="F167" s="10" t="s">
        <v>402</v>
      </c>
      <c r="G167" s="16">
        <v>0</v>
      </c>
      <c r="H167" s="16">
        <v>20</v>
      </c>
    </row>
    <row r="168" spans="1:8" x14ac:dyDescent="0.35">
      <c r="A168" s="8" t="s">
        <v>176</v>
      </c>
      <c r="B168" s="8" t="s">
        <v>388</v>
      </c>
      <c r="C168" s="8" t="s">
        <v>390</v>
      </c>
      <c r="D168" s="8" t="s">
        <v>397</v>
      </c>
      <c r="E168" s="8" t="s">
        <v>400</v>
      </c>
      <c r="F168" s="10" t="s">
        <v>403</v>
      </c>
      <c r="G168" s="16">
        <v>0</v>
      </c>
      <c r="H168" s="16">
        <v>11</v>
      </c>
    </row>
    <row r="169" spans="1:8" x14ac:dyDescent="0.35">
      <c r="A169" s="8" t="s">
        <v>177</v>
      </c>
      <c r="B169" s="8" t="s">
        <v>386</v>
      </c>
      <c r="C169" s="8" t="s">
        <v>390</v>
      </c>
      <c r="D169" s="8" t="s">
        <v>395</v>
      </c>
      <c r="E169" s="8" t="s">
        <v>400</v>
      </c>
      <c r="F169" s="10" t="s">
        <v>402</v>
      </c>
      <c r="G169" s="16">
        <v>20</v>
      </c>
      <c r="H169" s="16">
        <v>17</v>
      </c>
    </row>
    <row r="170" spans="1:8" x14ac:dyDescent="0.35">
      <c r="A170" s="8" t="s">
        <v>178</v>
      </c>
      <c r="B170" s="8" t="s">
        <v>385</v>
      </c>
      <c r="C170" s="8" t="s">
        <v>391</v>
      </c>
      <c r="D170" s="8" t="s">
        <v>396</v>
      </c>
      <c r="E170" s="8" t="s">
        <v>399</v>
      </c>
      <c r="F170" s="10" t="s">
        <v>403</v>
      </c>
      <c r="G170" s="16">
        <v>50</v>
      </c>
      <c r="H170" s="16">
        <v>19</v>
      </c>
    </row>
    <row r="171" spans="1:8" x14ac:dyDescent="0.35">
      <c r="A171" s="8" t="s">
        <v>179</v>
      </c>
      <c r="B171" s="8" t="s">
        <v>387</v>
      </c>
      <c r="C171" s="8" t="s">
        <v>392</v>
      </c>
      <c r="D171" s="8" t="s">
        <v>395</v>
      </c>
      <c r="E171" s="8" t="s">
        <v>399</v>
      </c>
      <c r="F171" s="10" t="s">
        <v>403</v>
      </c>
      <c r="G171" s="16">
        <v>20</v>
      </c>
      <c r="H171" s="16">
        <v>1</v>
      </c>
    </row>
    <row r="172" spans="1:8" x14ac:dyDescent="0.35">
      <c r="A172" s="8" t="s">
        <v>180</v>
      </c>
      <c r="B172" s="8" t="s">
        <v>387</v>
      </c>
      <c r="C172" s="8" t="s">
        <v>393</v>
      </c>
      <c r="D172" s="8" t="s">
        <v>397</v>
      </c>
      <c r="E172" s="8" t="s">
        <v>398</v>
      </c>
      <c r="F172" s="10" t="s">
        <v>402</v>
      </c>
      <c r="G172" s="16">
        <v>0</v>
      </c>
      <c r="H172" s="16">
        <v>4</v>
      </c>
    </row>
    <row r="173" spans="1:8" x14ac:dyDescent="0.35">
      <c r="A173" s="8" t="s">
        <v>181</v>
      </c>
      <c r="B173" s="8" t="s">
        <v>388</v>
      </c>
      <c r="C173" s="8" t="s">
        <v>392</v>
      </c>
      <c r="D173" s="8" t="s">
        <v>397</v>
      </c>
      <c r="E173" s="8" t="s">
        <v>401</v>
      </c>
      <c r="F173" s="10" t="s">
        <v>406</v>
      </c>
      <c r="G173" s="16">
        <v>0</v>
      </c>
      <c r="H173" s="16">
        <v>10</v>
      </c>
    </row>
    <row r="174" spans="1:8" x14ac:dyDescent="0.35">
      <c r="A174" s="8" t="s">
        <v>182</v>
      </c>
      <c r="B174" s="8" t="s">
        <v>385</v>
      </c>
      <c r="C174" s="8" t="s">
        <v>394</v>
      </c>
      <c r="D174" s="8" t="s">
        <v>395</v>
      </c>
      <c r="E174" s="8" t="s">
        <v>398</v>
      </c>
      <c r="F174" s="10" t="s">
        <v>404</v>
      </c>
      <c r="G174" s="16">
        <v>20</v>
      </c>
      <c r="H174" s="16">
        <v>0</v>
      </c>
    </row>
    <row r="175" spans="1:8" x14ac:dyDescent="0.35">
      <c r="A175" s="8" t="s">
        <v>183</v>
      </c>
      <c r="B175" s="8" t="s">
        <v>388</v>
      </c>
      <c r="C175" s="8" t="s">
        <v>392</v>
      </c>
      <c r="D175" s="8" t="s">
        <v>397</v>
      </c>
      <c r="E175" s="8" t="s">
        <v>400</v>
      </c>
      <c r="F175" s="10" t="s">
        <v>406</v>
      </c>
      <c r="G175" s="16">
        <v>0</v>
      </c>
      <c r="H175" s="16">
        <v>7</v>
      </c>
    </row>
    <row r="176" spans="1:8" x14ac:dyDescent="0.35">
      <c r="A176" s="8" t="s">
        <v>184</v>
      </c>
      <c r="B176" s="8" t="s">
        <v>387</v>
      </c>
      <c r="C176" s="8" t="s">
        <v>390</v>
      </c>
      <c r="D176" s="8" t="s">
        <v>396</v>
      </c>
      <c r="E176" s="8" t="s">
        <v>398</v>
      </c>
      <c r="F176" s="10" t="s">
        <v>403</v>
      </c>
      <c r="G176" s="16">
        <v>50</v>
      </c>
      <c r="H176" s="16">
        <v>19</v>
      </c>
    </row>
    <row r="177" spans="1:8" x14ac:dyDescent="0.35">
      <c r="A177" s="8" t="s">
        <v>185</v>
      </c>
      <c r="B177" s="8" t="s">
        <v>388</v>
      </c>
      <c r="C177" s="8" t="s">
        <v>390</v>
      </c>
      <c r="D177" s="8" t="s">
        <v>397</v>
      </c>
      <c r="E177" s="8" t="s">
        <v>401</v>
      </c>
      <c r="F177" s="10" t="s">
        <v>406</v>
      </c>
      <c r="G177" s="16">
        <v>0</v>
      </c>
      <c r="H177" s="16">
        <v>5</v>
      </c>
    </row>
    <row r="178" spans="1:8" x14ac:dyDescent="0.35">
      <c r="A178" s="8" t="s">
        <v>186</v>
      </c>
      <c r="B178" s="8" t="s">
        <v>386</v>
      </c>
      <c r="C178" s="8" t="s">
        <v>390</v>
      </c>
      <c r="D178" s="8" t="s">
        <v>396</v>
      </c>
      <c r="E178" s="8" t="s">
        <v>399</v>
      </c>
      <c r="F178" s="10" t="s">
        <v>406</v>
      </c>
      <c r="G178" s="16">
        <v>50</v>
      </c>
      <c r="H178" s="16">
        <v>20</v>
      </c>
    </row>
    <row r="179" spans="1:8" x14ac:dyDescent="0.35">
      <c r="A179" s="8" t="s">
        <v>187</v>
      </c>
      <c r="B179" s="8" t="s">
        <v>389</v>
      </c>
      <c r="C179" s="8" t="s">
        <v>393</v>
      </c>
      <c r="D179" s="8" t="s">
        <v>396</v>
      </c>
      <c r="E179" s="8" t="s">
        <v>399</v>
      </c>
      <c r="F179" s="10" t="s">
        <v>404</v>
      </c>
      <c r="G179" s="16">
        <v>50</v>
      </c>
      <c r="H179" s="16">
        <v>2</v>
      </c>
    </row>
    <row r="180" spans="1:8" x14ac:dyDescent="0.35">
      <c r="A180" s="8" t="s">
        <v>188</v>
      </c>
      <c r="B180" s="8" t="s">
        <v>385</v>
      </c>
      <c r="C180" s="8" t="s">
        <v>393</v>
      </c>
      <c r="D180" s="8" t="s">
        <v>397</v>
      </c>
      <c r="E180" s="8" t="s">
        <v>401</v>
      </c>
      <c r="F180" s="10" t="s">
        <v>406</v>
      </c>
      <c r="G180" s="16">
        <v>0</v>
      </c>
      <c r="H180" s="16">
        <v>6</v>
      </c>
    </row>
    <row r="181" spans="1:8" x14ac:dyDescent="0.35">
      <c r="A181" s="8" t="s">
        <v>189</v>
      </c>
      <c r="B181" s="8" t="s">
        <v>386</v>
      </c>
      <c r="C181" s="8" t="s">
        <v>394</v>
      </c>
      <c r="D181" s="8" t="s">
        <v>395</v>
      </c>
      <c r="E181" s="8" t="s">
        <v>400</v>
      </c>
      <c r="F181" s="10" t="s">
        <v>405</v>
      </c>
      <c r="G181" s="16">
        <v>20</v>
      </c>
      <c r="H181" s="16">
        <v>1</v>
      </c>
    </row>
    <row r="182" spans="1:8" x14ac:dyDescent="0.35">
      <c r="A182" s="8" t="s">
        <v>190</v>
      </c>
      <c r="B182" s="8" t="s">
        <v>387</v>
      </c>
      <c r="C182" s="8" t="s">
        <v>392</v>
      </c>
      <c r="D182" s="8" t="s">
        <v>396</v>
      </c>
      <c r="E182" s="8" t="s">
        <v>401</v>
      </c>
      <c r="F182" s="10" t="s">
        <v>405</v>
      </c>
      <c r="G182" s="16">
        <v>50</v>
      </c>
      <c r="H182" s="16">
        <v>0</v>
      </c>
    </row>
    <row r="183" spans="1:8" x14ac:dyDescent="0.35">
      <c r="A183" s="8" t="s">
        <v>191</v>
      </c>
      <c r="B183" s="8" t="s">
        <v>389</v>
      </c>
      <c r="C183" s="8" t="s">
        <v>392</v>
      </c>
      <c r="D183" s="8" t="s">
        <v>395</v>
      </c>
      <c r="E183" s="8" t="s">
        <v>401</v>
      </c>
      <c r="F183" s="10" t="s">
        <v>402</v>
      </c>
      <c r="G183" s="16">
        <v>20</v>
      </c>
      <c r="H183" s="16">
        <v>15</v>
      </c>
    </row>
    <row r="184" spans="1:8" x14ac:dyDescent="0.35">
      <c r="A184" s="8" t="s">
        <v>192</v>
      </c>
      <c r="B184" s="8" t="s">
        <v>389</v>
      </c>
      <c r="C184" s="8" t="s">
        <v>390</v>
      </c>
      <c r="D184" s="8" t="s">
        <v>396</v>
      </c>
      <c r="E184" s="8" t="s">
        <v>398</v>
      </c>
      <c r="F184" s="10" t="s">
        <v>405</v>
      </c>
      <c r="G184" s="16">
        <v>50</v>
      </c>
      <c r="H184" s="16">
        <v>0</v>
      </c>
    </row>
    <row r="185" spans="1:8" x14ac:dyDescent="0.35">
      <c r="A185" s="8" t="s">
        <v>193</v>
      </c>
      <c r="B185" s="8" t="s">
        <v>389</v>
      </c>
      <c r="C185" s="8" t="s">
        <v>394</v>
      </c>
      <c r="D185" s="8" t="s">
        <v>397</v>
      </c>
      <c r="E185" s="8" t="s">
        <v>398</v>
      </c>
      <c r="F185" s="10" t="s">
        <v>406</v>
      </c>
      <c r="G185" s="16">
        <v>0</v>
      </c>
      <c r="H185" s="16">
        <v>12</v>
      </c>
    </row>
    <row r="186" spans="1:8" x14ac:dyDescent="0.35">
      <c r="A186" s="8" t="s">
        <v>194</v>
      </c>
      <c r="B186" s="8" t="s">
        <v>386</v>
      </c>
      <c r="C186" s="8" t="s">
        <v>391</v>
      </c>
      <c r="D186" s="8" t="s">
        <v>395</v>
      </c>
      <c r="E186" s="8" t="s">
        <v>401</v>
      </c>
      <c r="F186" s="10" t="s">
        <v>403</v>
      </c>
      <c r="G186" s="16">
        <v>20</v>
      </c>
      <c r="H186" s="16">
        <v>2</v>
      </c>
    </row>
    <row r="187" spans="1:8" x14ac:dyDescent="0.35">
      <c r="A187" s="8" t="s">
        <v>195</v>
      </c>
      <c r="B187" s="8" t="s">
        <v>388</v>
      </c>
      <c r="C187" s="8" t="s">
        <v>392</v>
      </c>
      <c r="D187" s="8" t="s">
        <v>396</v>
      </c>
      <c r="E187" s="8" t="s">
        <v>399</v>
      </c>
      <c r="F187" s="10" t="s">
        <v>406</v>
      </c>
      <c r="G187" s="16">
        <v>50</v>
      </c>
      <c r="H187" s="16">
        <v>20</v>
      </c>
    </row>
    <row r="188" spans="1:8" x14ac:dyDescent="0.35">
      <c r="A188" s="8" t="s">
        <v>196</v>
      </c>
      <c r="B188" s="8" t="s">
        <v>387</v>
      </c>
      <c r="C188" s="8" t="s">
        <v>391</v>
      </c>
      <c r="D188" s="8" t="s">
        <v>397</v>
      </c>
      <c r="E188" s="8" t="s">
        <v>398</v>
      </c>
      <c r="F188" s="10" t="s">
        <v>404</v>
      </c>
      <c r="G188" s="16">
        <v>0</v>
      </c>
      <c r="H188" s="16">
        <v>20</v>
      </c>
    </row>
    <row r="189" spans="1:8" x14ac:dyDescent="0.35">
      <c r="A189" s="8" t="s">
        <v>197</v>
      </c>
      <c r="B189" s="8" t="s">
        <v>389</v>
      </c>
      <c r="C189" s="8" t="s">
        <v>392</v>
      </c>
      <c r="D189" s="8" t="s">
        <v>396</v>
      </c>
      <c r="E189" s="8" t="s">
        <v>398</v>
      </c>
      <c r="F189" s="10" t="s">
        <v>403</v>
      </c>
      <c r="G189" s="16">
        <v>50</v>
      </c>
      <c r="H189" s="16">
        <v>5</v>
      </c>
    </row>
    <row r="190" spans="1:8" x14ac:dyDescent="0.35">
      <c r="A190" s="8" t="s">
        <v>198</v>
      </c>
      <c r="B190" s="8" t="s">
        <v>387</v>
      </c>
      <c r="C190" s="8" t="s">
        <v>394</v>
      </c>
      <c r="D190" s="8" t="s">
        <v>395</v>
      </c>
      <c r="E190" s="8" t="s">
        <v>399</v>
      </c>
      <c r="F190" s="10" t="s">
        <v>405</v>
      </c>
      <c r="G190" s="16">
        <v>20</v>
      </c>
      <c r="H190" s="16">
        <v>11</v>
      </c>
    </row>
    <row r="191" spans="1:8" x14ac:dyDescent="0.35">
      <c r="A191" s="8" t="s">
        <v>199</v>
      </c>
      <c r="B191" s="8" t="s">
        <v>387</v>
      </c>
      <c r="C191" s="8" t="s">
        <v>391</v>
      </c>
      <c r="D191" s="8" t="s">
        <v>397</v>
      </c>
      <c r="E191" s="8" t="s">
        <v>401</v>
      </c>
      <c r="F191" s="10" t="s">
        <v>403</v>
      </c>
      <c r="G191" s="16">
        <v>0</v>
      </c>
      <c r="H191" s="16">
        <v>2</v>
      </c>
    </row>
    <row r="192" spans="1:8" x14ac:dyDescent="0.35">
      <c r="A192" s="8" t="s">
        <v>200</v>
      </c>
      <c r="B192" s="8" t="s">
        <v>389</v>
      </c>
      <c r="C192" s="8" t="s">
        <v>391</v>
      </c>
      <c r="D192" s="8" t="s">
        <v>397</v>
      </c>
      <c r="E192" s="8" t="s">
        <v>398</v>
      </c>
      <c r="F192" s="10" t="s">
        <v>405</v>
      </c>
      <c r="G192" s="16">
        <v>0</v>
      </c>
      <c r="H192" s="16">
        <v>8</v>
      </c>
    </row>
    <row r="193" spans="1:8" x14ac:dyDescent="0.35">
      <c r="A193" s="8" t="s">
        <v>201</v>
      </c>
      <c r="B193" s="8" t="s">
        <v>385</v>
      </c>
      <c r="C193" s="8" t="s">
        <v>391</v>
      </c>
      <c r="D193" s="8" t="s">
        <v>395</v>
      </c>
      <c r="E193" s="8" t="s">
        <v>400</v>
      </c>
      <c r="F193" s="10" t="s">
        <v>405</v>
      </c>
      <c r="G193" s="16">
        <v>20</v>
      </c>
      <c r="H193" s="16">
        <v>12</v>
      </c>
    </row>
    <row r="194" spans="1:8" x14ac:dyDescent="0.35">
      <c r="A194" s="8" t="s">
        <v>202</v>
      </c>
      <c r="B194" s="8" t="s">
        <v>387</v>
      </c>
      <c r="C194" s="8" t="s">
        <v>393</v>
      </c>
      <c r="D194" s="8" t="s">
        <v>395</v>
      </c>
      <c r="E194" s="8" t="s">
        <v>401</v>
      </c>
      <c r="F194" s="10" t="s">
        <v>406</v>
      </c>
      <c r="G194" s="16">
        <v>20</v>
      </c>
      <c r="H194" s="16">
        <v>14</v>
      </c>
    </row>
    <row r="195" spans="1:8" x14ac:dyDescent="0.35">
      <c r="A195" s="8" t="s">
        <v>203</v>
      </c>
      <c r="B195" s="8" t="s">
        <v>389</v>
      </c>
      <c r="C195" s="8" t="s">
        <v>391</v>
      </c>
      <c r="D195" s="8" t="s">
        <v>397</v>
      </c>
      <c r="E195" s="8" t="s">
        <v>398</v>
      </c>
      <c r="F195" s="10" t="s">
        <v>405</v>
      </c>
      <c r="G195" s="16">
        <v>0</v>
      </c>
      <c r="H195" s="16">
        <v>8</v>
      </c>
    </row>
    <row r="196" spans="1:8" x14ac:dyDescent="0.35">
      <c r="A196" s="8" t="s">
        <v>204</v>
      </c>
      <c r="B196" s="8" t="s">
        <v>387</v>
      </c>
      <c r="C196" s="8" t="s">
        <v>391</v>
      </c>
      <c r="D196" s="8" t="s">
        <v>395</v>
      </c>
      <c r="E196" s="8" t="s">
        <v>401</v>
      </c>
      <c r="F196" s="10" t="s">
        <v>406</v>
      </c>
      <c r="G196" s="16">
        <v>20</v>
      </c>
      <c r="H196" s="16">
        <v>20</v>
      </c>
    </row>
    <row r="197" spans="1:8" x14ac:dyDescent="0.35">
      <c r="A197" s="8" t="s">
        <v>205</v>
      </c>
      <c r="B197" s="8" t="s">
        <v>387</v>
      </c>
      <c r="C197" s="8" t="s">
        <v>394</v>
      </c>
      <c r="D197" s="8" t="s">
        <v>395</v>
      </c>
      <c r="E197" s="8" t="s">
        <v>399</v>
      </c>
      <c r="F197" s="10" t="s">
        <v>405</v>
      </c>
      <c r="G197" s="16">
        <v>20</v>
      </c>
      <c r="H197" s="16">
        <v>5</v>
      </c>
    </row>
    <row r="198" spans="1:8" x14ac:dyDescent="0.35">
      <c r="A198" s="8" t="s">
        <v>206</v>
      </c>
      <c r="B198" s="8" t="s">
        <v>387</v>
      </c>
      <c r="C198" s="8" t="s">
        <v>392</v>
      </c>
      <c r="D198" s="8" t="s">
        <v>395</v>
      </c>
      <c r="E198" s="8" t="s">
        <v>399</v>
      </c>
      <c r="F198" s="10" t="s">
        <v>404</v>
      </c>
      <c r="G198" s="16">
        <v>20</v>
      </c>
      <c r="H198" s="16">
        <v>4</v>
      </c>
    </row>
    <row r="199" spans="1:8" x14ac:dyDescent="0.35">
      <c r="A199" s="8" t="s">
        <v>207</v>
      </c>
      <c r="B199" s="8" t="s">
        <v>387</v>
      </c>
      <c r="C199" s="8" t="s">
        <v>391</v>
      </c>
      <c r="D199" s="8" t="s">
        <v>395</v>
      </c>
      <c r="E199" s="8" t="s">
        <v>400</v>
      </c>
      <c r="F199" s="10" t="s">
        <v>406</v>
      </c>
      <c r="G199" s="16">
        <v>20</v>
      </c>
      <c r="H199" s="16">
        <v>19</v>
      </c>
    </row>
    <row r="200" spans="1:8" x14ac:dyDescent="0.35">
      <c r="A200" s="8" t="s">
        <v>208</v>
      </c>
      <c r="B200" s="8" t="s">
        <v>386</v>
      </c>
      <c r="C200" s="8" t="s">
        <v>391</v>
      </c>
      <c r="D200" s="8" t="s">
        <v>397</v>
      </c>
      <c r="E200" s="8" t="s">
        <v>399</v>
      </c>
      <c r="F200" s="10" t="s">
        <v>403</v>
      </c>
      <c r="G200" s="16">
        <v>0</v>
      </c>
      <c r="H200" s="16">
        <v>1</v>
      </c>
    </row>
    <row r="201" spans="1:8" x14ac:dyDescent="0.35">
      <c r="A201" s="8" t="s">
        <v>209</v>
      </c>
      <c r="B201" s="8" t="s">
        <v>387</v>
      </c>
      <c r="C201" s="8" t="s">
        <v>393</v>
      </c>
      <c r="D201" s="8" t="s">
        <v>396</v>
      </c>
      <c r="E201" s="8" t="s">
        <v>400</v>
      </c>
      <c r="F201" s="10" t="s">
        <v>403</v>
      </c>
      <c r="G201" s="16">
        <v>50</v>
      </c>
      <c r="H201" s="16">
        <v>0</v>
      </c>
    </row>
    <row r="202" spans="1:8" x14ac:dyDescent="0.35">
      <c r="A202" s="8" t="s">
        <v>210</v>
      </c>
      <c r="B202" s="8" t="s">
        <v>389</v>
      </c>
      <c r="C202" s="8" t="s">
        <v>394</v>
      </c>
      <c r="D202" s="8" t="s">
        <v>395</v>
      </c>
      <c r="E202" s="8" t="s">
        <v>399</v>
      </c>
      <c r="F202" s="10" t="s">
        <v>406</v>
      </c>
      <c r="G202" s="16">
        <v>20</v>
      </c>
      <c r="H202" s="16">
        <v>8</v>
      </c>
    </row>
    <row r="203" spans="1:8" x14ac:dyDescent="0.35">
      <c r="A203" s="8" t="s">
        <v>211</v>
      </c>
      <c r="B203" s="8" t="s">
        <v>385</v>
      </c>
      <c r="C203" s="8" t="s">
        <v>390</v>
      </c>
      <c r="D203" s="8" t="s">
        <v>395</v>
      </c>
      <c r="E203" s="8" t="s">
        <v>401</v>
      </c>
      <c r="F203" s="10" t="s">
        <v>403</v>
      </c>
      <c r="G203" s="16">
        <v>20</v>
      </c>
      <c r="H203" s="16">
        <v>17</v>
      </c>
    </row>
    <row r="204" spans="1:8" x14ac:dyDescent="0.35">
      <c r="A204" s="8" t="s">
        <v>212</v>
      </c>
      <c r="B204" s="8" t="s">
        <v>389</v>
      </c>
      <c r="C204" s="8" t="s">
        <v>392</v>
      </c>
      <c r="D204" s="8" t="s">
        <v>396</v>
      </c>
      <c r="E204" s="8" t="s">
        <v>399</v>
      </c>
      <c r="F204" s="10" t="s">
        <v>402</v>
      </c>
      <c r="G204" s="16">
        <v>50</v>
      </c>
      <c r="H204" s="16">
        <v>0</v>
      </c>
    </row>
    <row r="205" spans="1:8" x14ac:dyDescent="0.35">
      <c r="A205" s="8" t="s">
        <v>213</v>
      </c>
      <c r="B205" s="8" t="s">
        <v>385</v>
      </c>
      <c r="C205" s="8" t="s">
        <v>394</v>
      </c>
      <c r="D205" s="8" t="s">
        <v>395</v>
      </c>
      <c r="E205" s="8" t="s">
        <v>398</v>
      </c>
      <c r="F205" s="10" t="s">
        <v>405</v>
      </c>
      <c r="G205" s="16">
        <v>20</v>
      </c>
      <c r="H205" s="16">
        <v>17</v>
      </c>
    </row>
    <row r="206" spans="1:8" x14ac:dyDescent="0.35">
      <c r="A206" s="8" t="s">
        <v>214</v>
      </c>
      <c r="B206" s="8" t="s">
        <v>388</v>
      </c>
      <c r="C206" s="8" t="s">
        <v>391</v>
      </c>
      <c r="D206" s="8" t="s">
        <v>397</v>
      </c>
      <c r="E206" s="8" t="s">
        <v>399</v>
      </c>
      <c r="F206" s="10" t="s">
        <v>406</v>
      </c>
      <c r="G206" s="16">
        <v>0</v>
      </c>
      <c r="H206" s="16">
        <v>12</v>
      </c>
    </row>
    <row r="207" spans="1:8" x14ac:dyDescent="0.35">
      <c r="A207" s="8" t="s">
        <v>215</v>
      </c>
      <c r="B207" s="8" t="s">
        <v>387</v>
      </c>
      <c r="C207" s="8" t="s">
        <v>391</v>
      </c>
      <c r="D207" s="8" t="s">
        <v>396</v>
      </c>
      <c r="E207" s="8" t="s">
        <v>399</v>
      </c>
      <c r="F207" s="10" t="s">
        <v>404</v>
      </c>
      <c r="G207" s="16">
        <v>50</v>
      </c>
      <c r="H207" s="16">
        <v>20</v>
      </c>
    </row>
    <row r="208" spans="1:8" x14ac:dyDescent="0.35">
      <c r="A208" s="8" t="s">
        <v>216</v>
      </c>
      <c r="B208" s="8" t="s">
        <v>389</v>
      </c>
      <c r="C208" s="8" t="s">
        <v>392</v>
      </c>
      <c r="D208" s="8" t="s">
        <v>395</v>
      </c>
      <c r="E208" s="8" t="s">
        <v>398</v>
      </c>
      <c r="F208" s="10" t="s">
        <v>404</v>
      </c>
      <c r="G208" s="16">
        <v>20</v>
      </c>
      <c r="H208" s="16">
        <v>17</v>
      </c>
    </row>
    <row r="209" spans="1:8" x14ac:dyDescent="0.35">
      <c r="A209" s="8" t="s">
        <v>217</v>
      </c>
      <c r="B209" s="8" t="s">
        <v>387</v>
      </c>
      <c r="C209" s="8" t="s">
        <v>394</v>
      </c>
      <c r="D209" s="8" t="s">
        <v>397</v>
      </c>
      <c r="E209" s="8" t="s">
        <v>399</v>
      </c>
      <c r="F209" s="10" t="s">
        <v>406</v>
      </c>
      <c r="G209" s="16">
        <v>0</v>
      </c>
      <c r="H209" s="16">
        <v>9</v>
      </c>
    </row>
    <row r="210" spans="1:8" x14ac:dyDescent="0.35">
      <c r="A210" s="8" t="s">
        <v>218</v>
      </c>
      <c r="B210" s="8" t="s">
        <v>386</v>
      </c>
      <c r="C210" s="8" t="s">
        <v>390</v>
      </c>
      <c r="D210" s="8" t="s">
        <v>397</v>
      </c>
      <c r="E210" s="8" t="s">
        <v>398</v>
      </c>
      <c r="F210" s="10" t="s">
        <v>403</v>
      </c>
      <c r="G210" s="16">
        <v>0</v>
      </c>
      <c r="H210" s="16">
        <v>19</v>
      </c>
    </row>
    <row r="211" spans="1:8" x14ac:dyDescent="0.35">
      <c r="A211" s="8" t="s">
        <v>219</v>
      </c>
      <c r="B211" s="8" t="s">
        <v>386</v>
      </c>
      <c r="C211" s="8" t="s">
        <v>390</v>
      </c>
      <c r="D211" s="8" t="s">
        <v>396</v>
      </c>
      <c r="E211" s="8" t="s">
        <v>400</v>
      </c>
      <c r="F211" s="10" t="s">
        <v>405</v>
      </c>
      <c r="G211" s="16">
        <v>50</v>
      </c>
      <c r="H211" s="16">
        <v>2</v>
      </c>
    </row>
    <row r="212" spans="1:8" x14ac:dyDescent="0.35">
      <c r="A212" s="8" t="s">
        <v>220</v>
      </c>
      <c r="B212" s="8" t="s">
        <v>387</v>
      </c>
      <c r="C212" s="8" t="s">
        <v>394</v>
      </c>
      <c r="D212" s="8" t="s">
        <v>396</v>
      </c>
      <c r="E212" s="8" t="s">
        <v>401</v>
      </c>
      <c r="F212" s="10" t="s">
        <v>406</v>
      </c>
      <c r="G212" s="16">
        <v>50</v>
      </c>
      <c r="H212" s="16">
        <v>4</v>
      </c>
    </row>
    <row r="213" spans="1:8" x14ac:dyDescent="0.35">
      <c r="A213" s="8" t="s">
        <v>221</v>
      </c>
      <c r="B213" s="8" t="s">
        <v>387</v>
      </c>
      <c r="C213" s="8" t="s">
        <v>393</v>
      </c>
      <c r="D213" s="8" t="s">
        <v>396</v>
      </c>
      <c r="E213" s="8" t="s">
        <v>401</v>
      </c>
      <c r="F213" s="10" t="s">
        <v>404</v>
      </c>
      <c r="G213" s="16">
        <v>50</v>
      </c>
      <c r="H213" s="16">
        <v>0</v>
      </c>
    </row>
    <row r="214" spans="1:8" x14ac:dyDescent="0.35">
      <c r="A214" s="8" t="s">
        <v>222</v>
      </c>
      <c r="B214" s="8" t="s">
        <v>385</v>
      </c>
      <c r="C214" s="8" t="s">
        <v>391</v>
      </c>
      <c r="D214" s="8" t="s">
        <v>396</v>
      </c>
      <c r="E214" s="8" t="s">
        <v>399</v>
      </c>
      <c r="F214" s="10" t="s">
        <v>405</v>
      </c>
      <c r="G214" s="16">
        <v>50</v>
      </c>
      <c r="H214" s="16">
        <v>13</v>
      </c>
    </row>
    <row r="215" spans="1:8" x14ac:dyDescent="0.35">
      <c r="A215" s="8" t="s">
        <v>223</v>
      </c>
      <c r="B215" s="8" t="s">
        <v>388</v>
      </c>
      <c r="C215" s="8" t="s">
        <v>394</v>
      </c>
      <c r="D215" s="8" t="s">
        <v>397</v>
      </c>
      <c r="E215" s="8" t="s">
        <v>399</v>
      </c>
      <c r="F215" s="10" t="s">
        <v>402</v>
      </c>
      <c r="G215" s="16">
        <v>0</v>
      </c>
      <c r="H215" s="16">
        <v>6</v>
      </c>
    </row>
    <row r="216" spans="1:8" x14ac:dyDescent="0.35">
      <c r="A216" s="8" t="s">
        <v>224</v>
      </c>
      <c r="B216" s="8" t="s">
        <v>388</v>
      </c>
      <c r="C216" s="8" t="s">
        <v>392</v>
      </c>
      <c r="D216" s="8" t="s">
        <v>395</v>
      </c>
      <c r="E216" s="8" t="s">
        <v>398</v>
      </c>
      <c r="F216" s="10" t="s">
        <v>402</v>
      </c>
      <c r="G216" s="16">
        <v>20</v>
      </c>
      <c r="H216" s="16">
        <v>13</v>
      </c>
    </row>
    <row r="217" spans="1:8" x14ac:dyDescent="0.35">
      <c r="A217" s="8" t="s">
        <v>225</v>
      </c>
      <c r="B217" s="8" t="s">
        <v>388</v>
      </c>
      <c r="C217" s="8" t="s">
        <v>390</v>
      </c>
      <c r="D217" s="8" t="s">
        <v>397</v>
      </c>
      <c r="E217" s="8" t="s">
        <v>401</v>
      </c>
      <c r="F217" s="10" t="s">
        <v>406</v>
      </c>
      <c r="G217" s="16">
        <v>0</v>
      </c>
      <c r="H217" s="16">
        <v>12</v>
      </c>
    </row>
    <row r="218" spans="1:8" x14ac:dyDescent="0.35">
      <c r="A218" s="8" t="s">
        <v>226</v>
      </c>
      <c r="B218" s="8" t="s">
        <v>385</v>
      </c>
      <c r="C218" s="8" t="s">
        <v>394</v>
      </c>
      <c r="D218" s="8" t="s">
        <v>396</v>
      </c>
      <c r="E218" s="8" t="s">
        <v>400</v>
      </c>
      <c r="F218" s="10" t="s">
        <v>406</v>
      </c>
      <c r="G218" s="16">
        <v>50</v>
      </c>
      <c r="H218" s="16">
        <v>9</v>
      </c>
    </row>
    <row r="219" spans="1:8" x14ac:dyDescent="0.35">
      <c r="A219" s="8" t="s">
        <v>227</v>
      </c>
      <c r="B219" s="8" t="s">
        <v>386</v>
      </c>
      <c r="C219" s="8" t="s">
        <v>394</v>
      </c>
      <c r="D219" s="8" t="s">
        <v>396</v>
      </c>
      <c r="E219" s="8" t="s">
        <v>399</v>
      </c>
      <c r="F219" s="10" t="s">
        <v>405</v>
      </c>
      <c r="G219" s="16">
        <v>50</v>
      </c>
      <c r="H219" s="16">
        <v>18</v>
      </c>
    </row>
    <row r="220" spans="1:8" x14ac:dyDescent="0.35">
      <c r="A220" s="8" t="s">
        <v>228</v>
      </c>
      <c r="B220" s="8" t="s">
        <v>388</v>
      </c>
      <c r="C220" s="8" t="s">
        <v>390</v>
      </c>
      <c r="D220" s="8" t="s">
        <v>395</v>
      </c>
      <c r="E220" s="8" t="s">
        <v>401</v>
      </c>
      <c r="F220" s="10" t="s">
        <v>406</v>
      </c>
      <c r="G220" s="16">
        <v>20</v>
      </c>
      <c r="H220" s="16">
        <v>9</v>
      </c>
    </row>
    <row r="221" spans="1:8" x14ac:dyDescent="0.35">
      <c r="A221" s="8" t="s">
        <v>229</v>
      </c>
      <c r="B221" s="8" t="s">
        <v>387</v>
      </c>
      <c r="C221" s="8" t="s">
        <v>393</v>
      </c>
      <c r="D221" s="8" t="s">
        <v>395</v>
      </c>
      <c r="E221" s="8" t="s">
        <v>398</v>
      </c>
      <c r="F221" s="10" t="s">
        <v>403</v>
      </c>
      <c r="G221" s="16">
        <v>20</v>
      </c>
      <c r="H221" s="16">
        <v>0</v>
      </c>
    </row>
    <row r="222" spans="1:8" x14ac:dyDescent="0.35">
      <c r="A222" s="8" t="s">
        <v>230</v>
      </c>
      <c r="B222" s="8" t="s">
        <v>388</v>
      </c>
      <c r="C222" s="8" t="s">
        <v>394</v>
      </c>
      <c r="D222" s="8" t="s">
        <v>397</v>
      </c>
      <c r="E222" s="8" t="s">
        <v>400</v>
      </c>
      <c r="F222" s="10" t="s">
        <v>406</v>
      </c>
      <c r="G222" s="16">
        <v>0</v>
      </c>
      <c r="H222" s="16">
        <v>6</v>
      </c>
    </row>
    <row r="223" spans="1:8" x14ac:dyDescent="0.35">
      <c r="A223" s="8" t="s">
        <v>231</v>
      </c>
      <c r="B223" s="8" t="s">
        <v>389</v>
      </c>
      <c r="C223" s="8" t="s">
        <v>393</v>
      </c>
      <c r="D223" s="8" t="s">
        <v>397</v>
      </c>
      <c r="E223" s="8" t="s">
        <v>398</v>
      </c>
      <c r="F223" s="10" t="s">
        <v>405</v>
      </c>
      <c r="G223" s="16">
        <v>0</v>
      </c>
      <c r="H223" s="16">
        <v>1</v>
      </c>
    </row>
    <row r="224" spans="1:8" x14ac:dyDescent="0.35">
      <c r="A224" s="8" t="s">
        <v>232</v>
      </c>
      <c r="B224" s="8" t="s">
        <v>387</v>
      </c>
      <c r="C224" s="8" t="s">
        <v>393</v>
      </c>
      <c r="D224" s="8" t="s">
        <v>395</v>
      </c>
      <c r="E224" s="8" t="s">
        <v>399</v>
      </c>
      <c r="F224" s="10" t="s">
        <v>404</v>
      </c>
      <c r="G224" s="16">
        <v>20</v>
      </c>
      <c r="H224" s="16">
        <v>6</v>
      </c>
    </row>
    <row r="225" spans="1:8" x14ac:dyDescent="0.35">
      <c r="A225" s="8" t="s">
        <v>233</v>
      </c>
      <c r="B225" s="8" t="s">
        <v>386</v>
      </c>
      <c r="C225" s="8" t="s">
        <v>390</v>
      </c>
      <c r="D225" s="8" t="s">
        <v>397</v>
      </c>
      <c r="E225" s="8" t="s">
        <v>398</v>
      </c>
      <c r="F225" s="10" t="s">
        <v>403</v>
      </c>
      <c r="G225" s="16">
        <v>0</v>
      </c>
      <c r="H225" s="16">
        <v>7</v>
      </c>
    </row>
    <row r="226" spans="1:8" x14ac:dyDescent="0.35">
      <c r="A226" s="8" t="s">
        <v>234</v>
      </c>
      <c r="B226" s="8" t="s">
        <v>385</v>
      </c>
      <c r="C226" s="8" t="s">
        <v>392</v>
      </c>
      <c r="D226" s="8" t="s">
        <v>395</v>
      </c>
      <c r="E226" s="8" t="s">
        <v>399</v>
      </c>
      <c r="F226" s="10" t="s">
        <v>404</v>
      </c>
      <c r="G226" s="16">
        <v>20</v>
      </c>
      <c r="H226" s="16">
        <v>5</v>
      </c>
    </row>
    <row r="227" spans="1:8" x14ac:dyDescent="0.35">
      <c r="A227" s="8" t="s">
        <v>235</v>
      </c>
      <c r="B227" s="8" t="s">
        <v>385</v>
      </c>
      <c r="C227" s="8" t="s">
        <v>393</v>
      </c>
      <c r="D227" s="8" t="s">
        <v>396</v>
      </c>
      <c r="E227" s="8" t="s">
        <v>400</v>
      </c>
      <c r="F227" s="10" t="s">
        <v>404</v>
      </c>
      <c r="G227" s="16">
        <v>50</v>
      </c>
      <c r="H227" s="16">
        <v>4</v>
      </c>
    </row>
    <row r="228" spans="1:8" x14ac:dyDescent="0.35">
      <c r="A228" s="8" t="s">
        <v>236</v>
      </c>
      <c r="B228" s="8" t="s">
        <v>388</v>
      </c>
      <c r="C228" s="8" t="s">
        <v>391</v>
      </c>
      <c r="D228" s="8" t="s">
        <v>396</v>
      </c>
      <c r="E228" s="8" t="s">
        <v>401</v>
      </c>
      <c r="F228" s="10" t="s">
        <v>405</v>
      </c>
      <c r="G228" s="16">
        <v>50</v>
      </c>
      <c r="H228" s="16">
        <v>19</v>
      </c>
    </row>
    <row r="229" spans="1:8" x14ac:dyDescent="0.35">
      <c r="A229" s="8" t="s">
        <v>237</v>
      </c>
      <c r="B229" s="8" t="s">
        <v>385</v>
      </c>
      <c r="C229" s="8" t="s">
        <v>392</v>
      </c>
      <c r="D229" s="8" t="s">
        <v>395</v>
      </c>
      <c r="E229" s="8" t="s">
        <v>399</v>
      </c>
      <c r="F229" s="10" t="s">
        <v>405</v>
      </c>
      <c r="G229" s="16">
        <v>20</v>
      </c>
      <c r="H229" s="16">
        <v>2</v>
      </c>
    </row>
    <row r="230" spans="1:8" x14ac:dyDescent="0.35">
      <c r="A230" s="8" t="s">
        <v>238</v>
      </c>
      <c r="B230" s="8" t="s">
        <v>387</v>
      </c>
      <c r="C230" s="8" t="s">
        <v>392</v>
      </c>
      <c r="D230" s="8" t="s">
        <v>396</v>
      </c>
      <c r="E230" s="8" t="s">
        <v>399</v>
      </c>
      <c r="F230" s="10" t="s">
        <v>403</v>
      </c>
      <c r="G230" s="16">
        <v>50</v>
      </c>
      <c r="H230" s="16">
        <v>19</v>
      </c>
    </row>
    <row r="231" spans="1:8" x14ac:dyDescent="0.35">
      <c r="A231" s="8" t="s">
        <v>239</v>
      </c>
      <c r="B231" s="8" t="s">
        <v>389</v>
      </c>
      <c r="C231" s="8" t="s">
        <v>390</v>
      </c>
      <c r="D231" s="8" t="s">
        <v>397</v>
      </c>
      <c r="E231" s="8" t="s">
        <v>398</v>
      </c>
      <c r="F231" s="10" t="s">
        <v>405</v>
      </c>
      <c r="G231" s="16">
        <v>0</v>
      </c>
      <c r="H231" s="16">
        <v>12</v>
      </c>
    </row>
    <row r="232" spans="1:8" x14ac:dyDescent="0.35">
      <c r="A232" s="8" t="s">
        <v>240</v>
      </c>
      <c r="B232" s="8" t="s">
        <v>388</v>
      </c>
      <c r="C232" s="8" t="s">
        <v>391</v>
      </c>
      <c r="D232" s="8" t="s">
        <v>395</v>
      </c>
      <c r="E232" s="8" t="s">
        <v>401</v>
      </c>
      <c r="F232" s="10" t="s">
        <v>403</v>
      </c>
      <c r="G232" s="16">
        <v>20</v>
      </c>
      <c r="H232" s="16">
        <v>2</v>
      </c>
    </row>
    <row r="233" spans="1:8" x14ac:dyDescent="0.35">
      <c r="A233" s="8" t="s">
        <v>241</v>
      </c>
      <c r="B233" s="8" t="s">
        <v>385</v>
      </c>
      <c r="C233" s="8" t="s">
        <v>394</v>
      </c>
      <c r="D233" s="8" t="s">
        <v>397</v>
      </c>
      <c r="E233" s="8" t="s">
        <v>400</v>
      </c>
      <c r="F233" s="10" t="s">
        <v>406</v>
      </c>
      <c r="G233" s="16">
        <v>0</v>
      </c>
      <c r="H233" s="16">
        <v>14</v>
      </c>
    </row>
    <row r="234" spans="1:8" x14ac:dyDescent="0.35">
      <c r="A234" s="8" t="s">
        <v>242</v>
      </c>
      <c r="B234" s="8" t="s">
        <v>388</v>
      </c>
      <c r="C234" s="8" t="s">
        <v>391</v>
      </c>
      <c r="D234" s="8" t="s">
        <v>397</v>
      </c>
      <c r="E234" s="8" t="s">
        <v>399</v>
      </c>
      <c r="F234" s="10" t="s">
        <v>402</v>
      </c>
      <c r="G234" s="16">
        <v>0</v>
      </c>
      <c r="H234" s="16">
        <v>13</v>
      </c>
    </row>
    <row r="235" spans="1:8" x14ac:dyDescent="0.35">
      <c r="A235" s="8" t="s">
        <v>243</v>
      </c>
      <c r="B235" s="8" t="s">
        <v>385</v>
      </c>
      <c r="C235" s="8" t="s">
        <v>394</v>
      </c>
      <c r="D235" s="8" t="s">
        <v>397</v>
      </c>
      <c r="E235" s="8" t="s">
        <v>399</v>
      </c>
      <c r="F235" s="10" t="s">
        <v>402</v>
      </c>
      <c r="G235" s="16">
        <v>0</v>
      </c>
      <c r="H235" s="16">
        <v>5</v>
      </c>
    </row>
    <row r="236" spans="1:8" x14ac:dyDescent="0.35">
      <c r="A236" s="8" t="s">
        <v>244</v>
      </c>
      <c r="B236" s="8" t="s">
        <v>386</v>
      </c>
      <c r="C236" s="8" t="s">
        <v>390</v>
      </c>
      <c r="D236" s="8" t="s">
        <v>396</v>
      </c>
      <c r="E236" s="8" t="s">
        <v>399</v>
      </c>
      <c r="F236" s="10" t="s">
        <v>403</v>
      </c>
      <c r="G236" s="16">
        <v>50</v>
      </c>
      <c r="H236" s="16">
        <v>20</v>
      </c>
    </row>
    <row r="237" spans="1:8" x14ac:dyDescent="0.35">
      <c r="A237" s="8" t="s">
        <v>245</v>
      </c>
      <c r="B237" s="8" t="s">
        <v>389</v>
      </c>
      <c r="C237" s="8" t="s">
        <v>392</v>
      </c>
      <c r="D237" s="8" t="s">
        <v>395</v>
      </c>
      <c r="E237" s="8" t="s">
        <v>401</v>
      </c>
      <c r="F237" s="10" t="s">
        <v>402</v>
      </c>
      <c r="G237" s="16">
        <v>20</v>
      </c>
      <c r="H237" s="16">
        <v>6</v>
      </c>
    </row>
    <row r="238" spans="1:8" x14ac:dyDescent="0.35">
      <c r="A238" s="8" t="s">
        <v>246</v>
      </c>
      <c r="B238" s="8" t="s">
        <v>387</v>
      </c>
      <c r="C238" s="8" t="s">
        <v>390</v>
      </c>
      <c r="D238" s="8" t="s">
        <v>397</v>
      </c>
      <c r="E238" s="8" t="s">
        <v>400</v>
      </c>
      <c r="F238" s="10" t="s">
        <v>406</v>
      </c>
      <c r="G238" s="16">
        <v>0</v>
      </c>
      <c r="H238" s="16">
        <v>10</v>
      </c>
    </row>
    <row r="239" spans="1:8" x14ac:dyDescent="0.35">
      <c r="A239" s="8" t="s">
        <v>247</v>
      </c>
      <c r="B239" s="8" t="s">
        <v>387</v>
      </c>
      <c r="C239" s="8" t="s">
        <v>392</v>
      </c>
      <c r="D239" s="8" t="s">
        <v>396</v>
      </c>
      <c r="E239" s="8" t="s">
        <v>401</v>
      </c>
      <c r="F239" s="10" t="s">
        <v>406</v>
      </c>
      <c r="G239" s="16">
        <v>50</v>
      </c>
      <c r="H239" s="16">
        <v>18</v>
      </c>
    </row>
    <row r="240" spans="1:8" x14ac:dyDescent="0.35">
      <c r="A240" s="8" t="s">
        <v>248</v>
      </c>
      <c r="B240" s="8" t="s">
        <v>385</v>
      </c>
      <c r="C240" s="8" t="s">
        <v>390</v>
      </c>
      <c r="D240" s="8" t="s">
        <v>396</v>
      </c>
      <c r="E240" s="8" t="s">
        <v>398</v>
      </c>
      <c r="F240" s="10" t="s">
        <v>403</v>
      </c>
      <c r="G240" s="16">
        <v>50</v>
      </c>
      <c r="H240" s="16">
        <v>13</v>
      </c>
    </row>
    <row r="241" spans="1:8" x14ac:dyDescent="0.35">
      <c r="A241" s="8" t="s">
        <v>249</v>
      </c>
      <c r="B241" s="8" t="s">
        <v>385</v>
      </c>
      <c r="C241" s="8" t="s">
        <v>392</v>
      </c>
      <c r="D241" s="8" t="s">
        <v>397</v>
      </c>
      <c r="E241" s="8" t="s">
        <v>398</v>
      </c>
      <c r="F241" s="10" t="s">
        <v>402</v>
      </c>
      <c r="G241" s="16">
        <v>0</v>
      </c>
      <c r="H241" s="16">
        <v>14</v>
      </c>
    </row>
    <row r="242" spans="1:8" x14ac:dyDescent="0.35">
      <c r="A242" s="8" t="s">
        <v>250</v>
      </c>
      <c r="B242" s="8" t="s">
        <v>386</v>
      </c>
      <c r="C242" s="8" t="s">
        <v>394</v>
      </c>
      <c r="D242" s="8" t="s">
        <v>395</v>
      </c>
      <c r="E242" s="8" t="s">
        <v>398</v>
      </c>
      <c r="F242" s="10" t="s">
        <v>404</v>
      </c>
      <c r="G242" s="16">
        <v>20</v>
      </c>
      <c r="H242" s="16">
        <v>14</v>
      </c>
    </row>
    <row r="243" spans="1:8" x14ac:dyDescent="0.35">
      <c r="A243" s="8" t="s">
        <v>251</v>
      </c>
      <c r="B243" s="8" t="s">
        <v>387</v>
      </c>
      <c r="C243" s="8" t="s">
        <v>390</v>
      </c>
      <c r="D243" s="8" t="s">
        <v>396</v>
      </c>
      <c r="E243" s="8" t="s">
        <v>399</v>
      </c>
      <c r="F243" s="10" t="s">
        <v>403</v>
      </c>
      <c r="G243" s="16">
        <v>50</v>
      </c>
      <c r="H243" s="16">
        <v>11</v>
      </c>
    </row>
    <row r="244" spans="1:8" x14ac:dyDescent="0.35">
      <c r="A244" s="8" t="s">
        <v>252</v>
      </c>
      <c r="B244" s="8" t="s">
        <v>386</v>
      </c>
      <c r="C244" s="8" t="s">
        <v>394</v>
      </c>
      <c r="D244" s="8" t="s">
        <v>397</v>
      </c>
      <c r="E244" s="8" t="s">
        <v>399</v>
      </c>
      <c r="F244" s="10" t="s">
        <v>406</v>
      </c>
      <c r="G244" s="16">
        <v>0</v>
      </c>
      <c r="H244" s="16">
        <v>16</v>
      </c>
    </row>
    <row r="245" spans="1:8" x14ac:dyDescent="0.35">
      <c r="A245" s="8" t="s">
        <v>253</v>
      </c>
      <c r="B245" s="8" t="s">
        <v>387</v>
      </c>
      <c r="C245" s="8" t="s">
        <v>393</v>
      </c>
      <c r="D245" s="8" t="s">
        <v>395</v>
      </c>
      <c r="E245" s="8" t="s">
        <v>401</v>
      </c>
      <c r="F245" s="10" t="s">
        <v>406</v>
      </c>
      <c r="G245" s="16">
        <v>20</v>
      </c>
      <c r="H245" s="16">
        <v>9</v>
      </c>
    </row>
    <row r="246" spans="1:8" x14ac:dyDescent="0.35">
      <c r="A246" s="8" t="s">
        <v>254</v>
      </c>
      <c r="B246" s="8" t="s">
        <v>389</v>
      </c>
      <c r="C246" s="8" t="s">
        <v>394</v>
      </c>
      <c r="D246" s="8" t="s">
        <v>397</v>
      </c>
      <c r="E246" s="8" t="s">
        <v>399</v>
      </c>
      <c r="F246" s="10" t="s">
        <v>402</v>
      </c>
      <c r="G246" s="16">
        <v>0</v>
      </c>
      <c r="H246" s="16">
        <v>1</v>
      </c>
    </row>
    <row r="247" spans="1:8" x14ac:dyDescent="0.35">
      <c r="A247" s="8" t="s">
        <v>255</v>
      </c>
      <c r="B247" s="8" t="s">
        <v>389</v>
      </c>
      <c r="C247" s="8" t="s">
        <v>394</v>
      </c>
      <c r="D247" s="8" t="s">
        <v>395</v>
      </c>
      <c r="E247" s="8" t="s">
        <v>401</v>
      </c>
      <c r="F247" s="10" t="s">
        <v>403</v>
      </c>
      <c r="G247" s="16">
        <v>20</v>
      </c>
      <c r="H247" s="16">
        <v>10</v>
      </c>
    </row>
    <row r="248" spans="1:8" x14ac:dyDescent="0.35">
      <c r="A248" s="8" t="s">
        <v>256</v>
      </c>
      <c r="B248" s="8" t="s">
        <v>389</v>
      </c>
      <c r="C248" s="8" t="s">
        <v>391</v>
      </c>
      <c r="D248" s="8" t="s">
        <v>397</v>
      </c>
      <c r="E248" s="8" t="s">
        <v>400</v>
      </c>
      <c r="F248" s="10" t="s">
        <v>405</v>
      </c>
      <c r="G248" s="16">
        <v>0</v>
      </c>
      <c r="H248" s="16">
        <v>15</v>
      </c>
    </row>
    <row r="249" spans="1:8" x14ac:dyDescent="0.35">
      <c r="A249" s="8" t="s">
        <v>257</v>
      </c>
      <c r="B249" s="8" t="s">
        <v>387</v>
      </c>
      <c r="C249" s="8" t="s">
        <v>391</v>
      </c>
      <c r="D249" s="8" t="s">
        <v>395</v>
      </c>
      <c r="E249" s="8" t="s">
        <v>401</v>
      </c>
      <c r="F249" s="10" t="s">
        <v>405</v>
      </c>
      <c r="G249" s="16">
        <v>20</v>
      </c>
      <c r="H249" s="16">
        <v>3</v>
      </c>
    </row>
    <row r="250" spans="1:8" x14ac:dyDescent="0.35">
      <c r="A250" s="8" t="s">
        <v>258</v>
      </c>
      <c r="B250" s="8" t="s">
        <v>386</v>
      </c>
      <c r="C250" s="8" t="s">
        <v>391</v>
      </c>
      <c r="D250" s="8" t="s">
        <v>396</v>
      </c>
      <c r="E250" s="8" t="s">
        <v>401</v>
      </c>
      <c r="F250" s="10" t="s">
        <v>405</v>
      </c>
      <c r="G250" s="16">
        <v>50</v>
      </c>
      <c r="H250" s="16">
        <v>1</v>
      </c>
    </row>
    <row r="251" spans="1:8" x14ac:dyDescent="0.35">
      <c r="A251" s="8" t="s">
        <v>259</v>
      </c>
      <c r="B251" s="8" t="s">
        <v>386</v>
      </c>
      <c r="C251" s="8" t="s">
        <v>394</v>
      </c>
      <c r="D251" s="8" t="s">
        <v>397</v>
      </c>
      <c r="E251" s="8" t="s">
        <v>401</v>
      </c>
      <c r="F251" s="10" t="s">
        <v>404</v>
      </c>
      <c r="G251" s="16">
        <v>0</v>
      </c>
      <c r="H251" s="16">
        <v>3</v>
      </c>
    </row>
    <row r="252" spans="1:8" x14ac:dyDescent="0.35">
      <c r="A252" s="8" t="s">
        <v>260</v>
      </c>
      <c r="B252" s="8" t="s">
        <v>388</v>
      </c>
      <c r="C252" s="8" t="s">
        <v>390</v>
      </c>
      <c r="D252" s="8" t="s">
        <v>397</v>
      </c>
      <c r="E252" s="8" t="s">
        <v>401</v>
      </c>
      <c r="F252" s="10" t="s">
        <v>404</v>
      </c>
      <c r="G252" s="16">
        <v>0</v>
      </c>
      <c r="H252" s="16">
        <v>5</v>
      </c>
    </row>
    <row r="253" spans="1:8" x14ac:dyDescent="0.35">
      <c r="A253" s="8" t="s">
        <v>261</v>
      </c>
      <c r="B253" s="8" t="s">
        <v>387</v>
      </c>
      <c r="C253" s="8" t="s">
        <v>390</v>
      </c>
      <c r="D253" s="8" t="s">
        <v>395</v>
      </c>
      <c r="E253" s="8" t="s">
        <v>400</v>
      </c>
      <c r="F253" s="10" t="s">
        <v>403</v>
      </c>
      <c r="G253" s="16">
        <v>20</v>
      </c>
      <c r="H253" s="16">
        <v>6</v>
      </c>
    </row>
    <row r="254" spans="1:8" x14ac:dyDescent="0.35">
      <c r="A254" s="8" t="s">
        <v>262</v>
      </c>
      <c r="B254" s="8" t="s">
        <v>386</v>
      </c>
      <c r="C254" s="8" t="s">
        <v>390</v>
      </c>
      <c r="D254" s="8" t="s">
        <v>395</v>
      </c>
      <c r="E254" s="8" t="s">
        <v>398</v>
      </c>
      <c r="F254" s="10" t="s">
        <v>402</v>
      </c>
      <c r="G254" s="16">
        <v>20</v>
      </c>
      <c r="H254" s="16">
        <v>10</v>
      </c>
    </row>
    <row r="255" spans="1:8" x14ac:dyDescent="0.35">
      <c r="A255" s="8" t="s">
        <v>263</v>
      </c>
      <c r="B255" s="8" t="s">
        <v>389</v>
      </c>
      <c r="C255" s="8" t="s">
        <v>393</v>
      </c>
      <c r="D255" s="8" t="s">
        <v>397</v>
      </c>
      <c r="E255" s="8" t="s">
        <v>401</v>
      </c>
      <c r="F255" s="10" t="s">
        <v>404</v>
      </c>
      <c r="G255" s="16">
        <v>0</v>
      </c>
      <c r="H255" s="16">
        <v>18</v>
      </c>
    </row>
    <row r="256" spans="1:8" x14ac:dyDescent="0.35">
      <c r="A256" s="8" t="s">
        <v>264</v>
      </c>
      <c r="B256" s="8" t="s">
        <v>385</v>
      </c>
      <c r="C256" s="8" t="s">
        <v>390</v>
      </c>
      <c r="D256" s="8" t="s">
        <v>395</v>
      </c>
      <c r="E256" s="8" t="s">
        <v>400</v>
      </c>
      <c r="F256" s="10" t="s">
        <v>406</v>
      </c>
      <c r="G256" s="16">
        <v>20</v>
      </c>
      <c r="H256" s="16">
        <v>13</v>
      </c>
    </row>
    <row r="257" spans="1:8" x14ac:dyDescent="0.35">
      <c r="A257" s="8" t="s">
        <v>265</v>
      </c>
      <c r="B257" s="8" t="s">
        <v>389</v>
      </c>
      <c r="C257" s="8" t="s">
        <v>390</v>
      </c>
      <c r="D257" s="8" t="s">
        <v>395</v>
      </c>
      <c r="E257" s="8" t="s">
        <v>401</v>
      </c>
      <c r="F257" s="10" t="s">
        <v>404</v>
      </c>
      <c r="G257" s="16">
        <v>20</v>
      </c>
      <c r="H257" s="16">
        <v>6</v>
      </c>
    </row>
    <row r="258" spans="1:8" x14ac:dyDescent="0.35">
      <c r="A258" s="8" t="s">
        <v>266</v>
      </c>
      <c r="B258" s="8" t="s">
        <v>388</v>
      </c>
      <c r="C258" s="8" t="s">
        <v>391</v>
      </c>
      <c r="D258" s="8" t="s">
        <v>396</v>
      </c>
      <c r="E258" s="8" t="s">
        <v>401</v>
      </c>
      <c r="F258" s="10" t="s">
        <v>405</v>
      </c>
      <c r="G258" s="16">
        <v>50</v>
      </c>
      <c r="H258" s="16">
        <v>9</v>
      </c>
    </row>
    <row r="259" spans="1:8" x14ac:dyDescent="0.35">
      <c r="A259" s="8" t="s">
        <v>267</v>
      </c>
      <c r="B259" s="8" t="s">
        <v>389</v>
      </c>
      <c r="C259" s="8" t="s">
        <v>394</v>
      </c>
      <c r="D259" s="8" t="s">
        <v>397</v>
      </c>
      <c r="E259" s="8" t="s">
        <v>399</v>
      </c>
      <c r="F259" s="10" t="s">
        <v>404</v>
      </c>
      <c r="G259" s="16">
        <v>0</v>
      </c>
      <c r="H259" s="16">
        <v>1</v>
      </c>
    </row>
    <row r="260" spans="1:8" x14ac:dyDescent="0.35">
      <c r="A260" s="8" t="s">
        <v>268</v>
      </c>
      <c r="B260" s="8" t="s">
        <v>389</v>
      </c>
      <c r="C260" s="8" t="s">
        <v>394</v>
      </c>
      <c r="D260" s="8" t="s">
        <v>396</v>
      </c>
      <c r="E260" s="8" t="s">
        <v>401</v>
      </c>
      <c r="F260" s="10" t="s">
        <v>406</v>
      </c>
      <c r="G260" s="16">
        <v>50</v>
      </c>
      <c r="H260" s="16">
        <v>15</v>
      </c>
    </row>
    <row r="261" spans="1:8" x14ac:dyDescent="0.35">
      <c r="A261" s="8" t="s">
        <v>269</v>
      </c>
      <c r="B261" s="8" t="s">
        <v>385</v>
      </c>
      <c r="C261" s="8" t="s">
        <v>393</v>
      </c>
      <c r="D261" s="8" t="s">
        <v>395</v>
      </c>
      <c r="E261" s="8" t="s">
        <v>400</v>
      </c>
      <c r="F261" s="10" t="s">
        <v>403</v>
      </c>
      <c r="G261" s="16">
        <v>20</v>
      </c>
      <c r="H261" s="16">
        <v>2</v>
      </c>
    </row>
    <row r="262" spans="1:8" x14ac:dyDescent="0.35">
      <c r="A262" s="8" t="s">
        <v>270</v>
      </c>
      <c r="B262" s="8" t="s">
        <v>388</v>
      </c>
      <c r="C262" s="8" t="s">
        <v>391</v>
      </c>
      <c r="D262" s="8" t="s">
        <v>396</v>
      </c>
      <c r="E262" s="8" t="s">
        <v>398</v>
      </c>
      <c r="F262" s="10" t="s">
        <v>404</v>
      </c>
      <c r="G262" s="16">
        <v>50</v>
      </c>
      <c r="H262" s="16">
        <v>2</v>
      </c>
    </row>
    <row r="263" spans="1:8" x14ac:dyDescent="0.35">
      <c r="A263" s="8" t="s">
        <v>271</v>
      </c>
      <c r="B263" s="8" t="s">
        <v>387</v>
      </c>
      <c r="C263" s="8" t="s">
        <v>391</v>
      </c>
      <c r="D263" s="8" t="s">
        <v>397</v>
      </c>
      <c r="E263" s="8" t="s">
        <v>399</v>
      </c>
      <c r="F263" s="10" t="s">
        <v>406</v>
      </c>
      <c r="G263" s="16">
        <v>0</v>
      </c>
      <c r="H263" s="16">
        <v>12</v>
      </c>
    </row>
    <row r="264" spans="1:8" x14ac:dyDescent="0.35">
      <c r="A264" s="8" t="s">
        <v>272</v>
      </c>
      <c r="B264" s="8" t="s">
        <v>387</v>
      </c>
      <c r="C264" s="8" t="s">
        <v>393</v>
      </c>
      <c r="D264" s="8" t="s">
        <v>396</v>
      </c>
      <c r="E264" s="8" t="s">
        <v>401</v>
      </c>
      <c r="F264" s="10" t="s">
        <v>406</v>
      </c>
      <c r="G264" s="16">
        <v>50</v>
      </c>
      <c r="H264" s="16">
        <v>8</v>
      </c>
    </row>
    <row r="265" spans="1:8" x14ac:dyDescent="0.35">
      <c r="A265" s="8" t="s">
        <v>273</v>
      </c>
      <c r="B265" s="8" t="s">
        <v>387</v>
      </c>
      <c r="C265" s="8" t="s">
        <v>392</v>
      </c>
      <c r="D265" s="8" t="s">
        <v>397</v>
      </c>
      <c r="E265" s="8" t="s">
        <v>399</v>
      </c>
      <c r="F265" s="10" t="s">
        <v>404</v>
      </c>
      <c r="G265" s="16">
        <v>0</v>
      </c>
      <c r="H265" s="16">
        <v>7</v>
      </c>
    </row>
    <row r="266" spans="1:8" x14ac:dyDescent="0.35">
      <c r="A266" s="8" t="s">
        <v>274</v>
      </c>
      <c r="B266" s="8" t="s">
        <v>389</v>
      </c>
      <c r="C266" s="8" t="s">
        <v>390</v>
      </c>
      <c r="D266" s="8" t="s">
        <v>395</v>
      </c>
      <c r="E266" s="8" t="s">
        <v>400</v>
      </c>
      <c r="F266" s="10" t="s">
        <v>405</v>
      </c>
      <c r="G266" s="16">
        <v>20</v>
      </c>
      <c r="H266" s="16">
        <v>18</v>
      </c>
    </row>
    <row r="267" spans="1:8" x14ac:dyDescent="0.35">
      <c r="A267" s="8" t="s">
        <v>275</v>
      </c>
      <c r="B267" s="8" t="s">
        <v>389</v>
      </c>
      <c r="C267" s="8" t="s">
        <v>390</v>
      </c>
      <c r="D267" s="8" t="s">
        <v>395</v>
      </c>
      <c r="E267" s="8" t="s">
        <v>401</v>
      </c>
      <c r="F267" s="10" t="s">
        <v>406</v>
      </c>
      <c r="G267" s="16">
        <v>20</v>
      </c>
      <c r="H267" s="16">
        <v>7</v>
      </c>
    </row>
    <row r="268" spans="1:8" x14ac:dyDescent="0.35">
      <c r="A268" s="8" t="s">
        <v>276</v>
      </c>
      <c r="B268" s="8" t="s">
        <v>389</v>
      </c>
      <c r="C268" s="8" t="s">
        <v>391</v>
      </c>
      <c r="D268" s="8" t="s">
        <v>396</v>
      </c>
      <c r="E268" s="8" t="s">
        <v>400</v>
      </c>
      <c r="F268" s="10" t="s">
        <v>406</v>
      </c>
      <c r="G268" s="16">
        <v>50</v>
      </c>
      <c r="H268" s="16">
        <v>14</v>
      </c>
    </row>
    <row r="269" spans="1:8" x14ac:dyDescent="0.35">
      <c r="A269" s="8" t="s">
        <v>277</v>
      </c>
      <c r="B269" s="8" t="s">
        <v>387</v>
      </c>
      <c r="C269" s="8" t="s">
        <v>390</v>
      </c>
      <c r="D269" s="8" t="s">
        <v>395</v>
      </c>
      <c r="E269" s="8" t="s">
        <v>398</v>
      </c>
      <c r="F269" s="10" t="s">
        <v>405</v>
      </c>
      <c r="G269" s="16">
        <v>20</v>
      </c>
      <c r="H269" s="16">
        <v>7</v>
      </c>
    </row>
    <row r="270" spans="1:8" x14ac:dyDescent="0.35">
      <c r="A270" s="8" t="s">
        <v>278</v>
      </c>
      <c r="B270" s="8" t="s">
        <v>388</v>
      </c>
      <c r="C270" s="8" t="s">
        <v>394</v>
      </c>
      <c r="D270" s="8" t="s">
        <v>397</v>
      </c>
      <c r="E270" s="8" t="s">
        <v>398</v>
      </c>
      <c r="F270" s="10" t="s">
        <v>404</v>
      </c>
      <c r="G270" s="16">
        <v>0</v>
      </c>
      <c r="H270" s="16">
        <v>6</v>
      </c>
    </row>
    <row r="271" spans="1:8" x14ac:dyDescent="0.35">
      <c r="A271" s="8" t="s">
        <v>279</v>
      </c>
      <c r="B271" s="8" t="s">
        <v>388</v>
      </c>
      <c r="C271" s="8" t="s">
        <v>390</v>
      </c>
      <c r="D271" s="8" t="s">
        <v>395</v>
      </c>
      <c r="E271" s="8" t="s">
        <v>399</v>
      </c>
      <c r="F271" s="10" t="s">
        <v>402</v>
      </c>
      <c r="G271" s="16">
        <v>20</v>
      </c>
      <c r="H271" s="16">
        <v>0</v>
      </c>
    </row>
    <row r="272" spans="1:8" x14ac:dyDescent="0.35">
      <c r="A272" s="8" t="s">
        <v>280</v>
      </c>
      <c r="B272" s="8" t="s">
        <v>386</v>
      </c>
      <c r="C272" s="8" t="s">
        <v>392</v>
      </c>
      <c r="D272" s="8" t="s">
        <v>395</v>
      </c>
      <c r="E272" s="8" t="s">
        <v>399</v>
      </c>
      <c r="F272" s="10" t="s">
        <v>403</v>
      </c>
      <c r="G272" s="16">
        <v>20</v>
      </c>
      <c r="H272" s="16">
        <v>16</v>
      </c>
    </row>
    <row r="273" spans="1:8" x14ac:dyDescent="0.35">
      <c r="A273" s="8" t="s">
        <v>281</v>
      </c>
      <c r="B273" s="8" t="s">
        <v>385</v>
      </c>
      <c r="C273" s="8" t="s">
        <v>390</v>
      </c>
      <c r="D273" s="8" t="s">
        <v>396</v>
      </c>
      <c r="E273" s="8" t="s">
        <v>401</v>
      </c>
      <c r="F273" s="10" t="s">
        <v>403</v>
      </c>
      <c r="G273" s="16">
        <v>50</v>
      </c>
      <c r="H273" s="16">
        <v>7</v>
      </c>
    </row>
    <row r="274" spans="1:8" x14ac:dyDescent="0.35">
      <c r="A274" s="8" t="s">
        <v>282</v>
      </c>
      <c r="B274" s="8" t="s">
        <v>386</v>
      </c>
      <c r="C274" s="8" t="s">
        <v>391</v>
      </c>
      <c r="D274" s="8" t="s">
        <v>396</v>
      </c>
      <c r="E274" s="8" t="s">
        <v>398</v>
      </c>
      <c r="F274" s="10" t="s">
        <v>402</v>
      </c>
      <c r="G274" s="16">
        <v>50</v>
      </c>
      <c r="H274" s="16">
        <v>14</v>
      </c>
    </row>
    <row r="275" spans="1:8" x14ac:dyDescent="0.35">
      <c r="A275" s="8" t="s">
        <v>283</v>
      </c>
      <c r="B275" s="8" t="s">
        <v>388</v>
      </c>
      <c r="C275" s="8" t="s">
        <v>393</v>
      </c>
      <c r="D275" s="8" t="s">
        <v>395</v>
      </c>
      <c r="E275" s="8" t="s">
        <v>399</v>
      </c>
      <c r="F275" s="10" t="s">
        <v>404</v>
      </c>
      <c r="G275" s="16">
        <v>20</v>
      </c>
      <c r="H275" s="16">
        <v>6</v>
      </c>
    </row>
    <row r="276" spans="1:8" x14ac:dyDescent="0.35">
      <c r="A276" s="8" t="s">
        <v>284</v>
      </c>
      <c r="B276" s="8" t="s">
        <v>389</v>
      </c>
      <c r="C276" s="8" t="s">
        <v>394</v>
      </c>
      <c r="D276" s="8" t="s">
        <v>395</v>
      </c>
      <c r="E276" s="8" t="s">
        <v>399</v>
      </c>
      <c r="F276" s="10" t="s">
        <v>406</v>
      </c>
      <c r="G276" s="16">
        <v>20</v>
      </c>
      <c r="H276" s="16">
        <v>12</v>
      </c>
    </row>
    <row r="277" spans="1:8" x14ac:dyDescent="0.35">
      <c r="A277" s="8" t="s">
        <v>285</v>
      </c>
      <c r="B277" s="8" t="s">
        <v>388</v>
      </c>
      <c r="C277" s="8" t="s">
        <v>394</v>
      </c>
      <c r="D277" s="8" t="s">
        <v>396</v>
      </c>
      <c r="E277" s="8" t="s">
        <v>398</v>
      </c>
      <c r="F277" s="10" t="s">
        <v>402</v>
      </c>
      <c r="G277" s="16">
        <v>50</v>
      </c>
      <c r="H277" s="16">
        <v>5</v>
      </c>
    </row>
    <row r="278" spans="1:8" x14ac:dyDescent="0.35">
      <c r="A278" s="8" t="s">
        <v>286</v>
      </c>
      <c r="B278" s="8" t="s">
        <v>387</v>
      </c>
      <c r="C278" s="8" t="s">
        <v>391</v>
      </c>
      <c r="D278" s="8" t="s">
        <v>396</v>
      </c>
      <c r="E278" s="8" t="s">
        <v>401</v>
      </c>
      <c r="F278" s="10" t="s">
        <v>403</v>
      </c>
      <c r="G278" s="16">
        <v>50</v>
      </c>
      <c r="H278" s="16">
        <v>18</v>
      </c>
    </row>
    <row r="279" spans="1:8" x14ac:dyDescent="0.35">
      <c r="A279" s="8" t="s">
        <v>287</v>
      </c>
      <c r="B279" s="8" t="s">
        <v>386</v>
      </c>
      <c r="C279" s="8" t="s">
        <v>394</v>
      </c>
      <c r="D279" s="8" t="s">
        <v>395</v>
      </c>
      <c r="E279" s="8" t="s">
        <v>398</v>
      </c>
      <c r="F279" s="10" t="s">
        <v>405</v>
      </c>
      <c r="G279" s="16">
        <v>20</v>
      </c>
      <c r="H279" s="16">
        <v>16</v>
      </c>
    </row>
    <row r="280" spans="1:8" x14ac:dyDescent="0.35">
      <c r="A280" s="8" t="s">
        <v>288</v>
      </c>
      <c r="B280" s="8" t="s">
        <v>387</v>
      </c>
      <c r="C280" s="8" t="s">
        <v>394</v>
      </c>
      <c r="D280" s="8" t="s">
        <v>396</v>
      </c>
      <c r="E280" s="8" t="s">
        <v>399</v>
      </c>
      <c r="F280" s="10" t="s">
        <v>404</v>
      </c>
      <c r="G280" s="16">
        <v>50</v>
      </c>
      <c r="H280" s="16">
        <v>1</v>
      </c>
    </row>
    <row r="281" spans="1:8" x14ac:dyDescent="0.35">
      <c r="A281" s="8" t="s">
        <v>289</v>
      </c>
      <c r="B281" s="8" t="s">
        <v>389</v>
      </c>
      <c r="C281" s="8" t="s">
        <v>390</v>
      </c>
      <c r="D281" s="8" t="s">
        <v>397</v>
      </c>
      <c r="E281" s="8" t="s">
        <v>398</v>
      </c>
      <c r="F281" s="10" t="s">
        <v>403</v>
      </c>
      <c r="G281" s="16">
        <v>0</v>
      </c>
      <c r="H281" s="16">
        <v>6</v>
      </c>
    </row>
    <row r="282" spans="1:8" x14ac:dyDescent="0.35">
      <c r="A282" s="8" t="s">
        <v>290</v>
      </c>
      <c r="B282" s="8" t="s">
        <v>385</v>
      </c>
      <c r="C282" s="8" t="s">
        <v>393</v>
      </c>
      <c r="D282" s="8" t="s">
        <v>397</v>
      </c>
      <c r="E282" s="8" t="s">
        <v>400</v>
      </c>
      <c r="F282" s="10" t="s">
        <v>402</v>
      </c>
      <c r="G282" s="16">
        <v>0</v>
      </c>
      <c r="H282" s="16">
        <v>11</v>
      </c>
    </row>
    <row r="283" spans="1:8" x14ac:dyDescent="0.35">
      <c r="A283" s="8" t="s">
        <v>291</v>
      </c>
      <c r="B283" s="8" t="s">
        <v>386</v>
      </c>
      <c r="C283" s="8" t="s">
        <v>394</v>
      </c>
      <c r="D283" s="8" t="s">
        <v>395</v>
      </c>
      <c r="E283" s="8" t="s">
        <v>400</v>
      </c>
      <c r="F283" s="10" t="s">
        <v>405</v>
      </c>
      <c r="G283" s="16">
        <v>20</v>
      </c>
      <c r="H283" s="16">
        <v>9</v>
      </c>
    </row>
    <row r="284" spans="1:8" x14ac:dyDescent="0.35">
      <c r="A284" s="8" t="s">
        <v>292</v>
      </c>
      <c r="B284" s="8" t="s">
        <v>389</v>
      </c>
      <c r="C284" s="8" t="s">
        <v>390</v>
      </c>
      <c r="D284" s="8" t="s">
        <v>397</v>
      </c>
      <c r="E284" s="8" t="s">
        <v>401</v>
      </c>
      <c r="F284" s="10" t="s">
        <v>404</v>
      </c>
      <c r="G284" s="16">
        <v>0</v>
      </c>
      <c r="H284" s="16">
        <v>12</v>
      </c>
    </row>
    <row r="285" spans="1:8" x14ac:dyDescent="0.35">
      <c r="A285" s="8" t="s">
        <v>293</v>
      </c>
      <c r="B285" s="8" t="s">
        <v>387</v>
      </c>
      <c r="C285" s="8" t="s">
        <v>391</v>
      </c>
      <c r="D285" s="8" t="s">
        <v>395</v>
      </c>
      <c r="E285" s="8" t="s">
        <v>400</v>
      </c>
      <c r="F285" s="10" t="s">
        <v>406</v>
      </c>
      <c r="G285" s="16">
        <v>20</v>
      </c>
      <c r="H285" s="16">
        <v>12</v>
      </c>
    </row>
    <row r="286" spans="1:8" x14ac:dyDescent="0.35">
      <c r="A286" s="8" t="s">
        <v>294</v>
      </c>
      <c r="B286" s="8" t="s">
        <v>387</v>
      </c>
      <c r="C286" s="8" t="s">
        <v>391</v>
      </c>
      <c r="D286" s="8" t="s">
        <v>395</v>
      </c>
      <c r="E286" s="8" t="s">
        <v>400</v>
      </c>
      <c r="F286" s="10" t="s">
        <v>402</v>
      </c>
      <c r="G286" s="16">
        <v>20</v>
      </c>
      <c r="H286" s="16">
        <v>9</v>
      </c>
    </row>
    <row r="287" spans="1:8" x14ac:dyDescent="0.35">
      <c r="A287" s="8" t="s">
        <v>295</v>
      </c>
      <c r="B287" s="8" t="s">
        <v>386</v>
      </c>
      <c r="C287" s="8" t="s">
        <v>393</v>
      </c>
      <c r="D287" s="8" t="s">
        <v>395</v>
      </c>
      <c r="E287" s="8" t="s">
        <v>400</v>
      </c>
      <c r="F287" s="10" t="s">
        <v>405</v>
      </c>
      <c r="G287" s="16">
        <v>20</v>
      </c>
      <c r="H287" s="16">
        <v>4</v>
      </c>
    </row>
    <row r="288" spans="1:8" x14ac:dyDescent="0.35">
      <c r="A288" s="8" t="s">
        <v>296</v>
      </c>
      <c r="B288" s="8" t="s">
        <v>386</v>
      </c>
      <c r="C288" s="8" t="s">
        <v>390</v>
      </c>
      <c r="D288" s="8" t="s">
        <v>395</v>
      </c>
      <c r="E288" s="8" t="s">
        <v>398</v>
      </c>
      <c r="F288" s="10" t="s">
        <v>406</v>
      </c>
      <c r="G288" s="16">
        <v>20</v>
      </c>
      <c r="H288" s="16">
        <v>16</v>
      </c>
    </row>
    <row r="289" spans="1:8" x14ac:dyDescent="0.35">
      <c r="A289" s="8" t="s">
        <v>297</v>
      </c>
      <c r="B289" s="8" t="s">
        <v>385</v>
      </c>
      <c r="C289" s="8" t="s">
        <v>390</v>
      </c>
      <c r="D289" s="8" t="s">
        <v>396</v>
      </c>
      <c r="E289" s="8" t="s">
        <v>398</v>
      </c>
      <c r="F289" s="10" t="s">
        <v>403</v>
      </c>
      <c r="G289" s="16">
        <v>50</v>
      </c>
      <c r="H289" s="16">
        <v>10</v>
      </c>
    </row>
    <row r="290" spans="1:8" x14ac:dyDescent="0.35">
      <c r="A290" s="8" t="s">
        <v>298</v>
      </c>
      <c r="B290" s="8" t="s">
        <v>388</v>
      </c>
      <c r="C290" s="8" t="s">
        <v>394</v>
      </c>
      <c r="D290" s="8" t="s">
        <v>396</v>
      </c>
      <c r="E290" s="8" t="s">
        <v>399</v>
      </c>
      <c r="F290" s="10" t="s">
        <v>403</v>
      </c>
      <c r="G290" s="16">
        <v>50</v>
      </c>
      <c r="H290" s="16">
        <v>6</v>
      </c>
    </row>
    <row r="291" spans="1:8" x14ac:dyDescent="0.35">
      <c r="A291" s="8" t="s">
        <v>299</v>
      </c>
      <c r="B291" s="8" t="s">
        <v>385</v>
      </c>
      <c r="C291" s="8" t="s">
        <v>391</v>
      </c>
      <c r="D291" s="8" t="s">
        <v>395</v>
      </c>
      <c r="E291" s="8" t="s">
        <v>400</v>
      </c>
      <c r="F291" s="10" t="s">
        <v>403</v>
      </c>
      <c r="G291" s="16">
        <v>20</v>
      </c>
      <c r="H291" s="16">
        <v>6</v>
      </c>
    </row>
    <row r="292" spans="1:8" x14ac:dyDescent="0.35">
      <c r="A292" s="8" t="s">
        <v>300</v>
      </c>
      <c r="B292" s="8" t="s">
        <v>388</v>
      </c>
      <c r="C292" s="8" t="s">
        <v>394</v>
      </c>
      <c r="D292" s="8" t="s">
        <v>397</v>
      </c>
      <c r="E292" s="8" t="s">
        <v>401</v>
      </c>
      <c r="F292" s="10" t="s">
        <v>405</v>
      </c>
      <c r="G292" s="16">
        <v>0</v>
      </c>
      <c r="H292" s="16">
        <v>11</v>
      </c>
    </row>
    <row r="293" spans="1:8" x14ac:dyDescent="0.35">
      <c r="A293" s="8" t="s">
        <v>301</v>
      </c>
      <c r="B293" s="8" t="s">
        <v>389</v>
      </c>
      <c r="C293" s="8" t="s">
        <v>393</v>
      </c>
      <c r="D293" s="8" t="s">
        <v>397</v>
      </c>
      <c r="E293" s="8" t="s">
        <v>400</v>
      </c>
      <c r="F293" s="10" t="s">
        <v>402</v>
      </c>
      <c r="G293" s="16">
        <v>0</v>
      </c>
      <c r="H293" s="16">
        <v>14</v>
      </c>
    </row>
    <row r="294" spans="1:8" x14ac:dyDescent="0.35">
      <c r="A294" s="8" t="s">
        <v>302</v>
      </c>
      <c r="B294" s="8" t="s">
        <v>389</v>
      </c>
      <c r="C294" s="8" t="s">
        <v>393</v>
      </c>
      <c r="D294" s="8" t="s">
        <v>397</v>
      </c>
      <c r="E294" s="8" t="s">
        <v>398</v>
      </c>
      <c r="F294" s="10" t="s">
        <v>406</v>
      </c>
      <c r="G294" s="16">
        <v>0</v>
      </c>
      <c r="H294" s="16">
        <v>1</v>
      </c>
    </row>
    <row r="295" spans="1:8" x14ac:dyDescent="0.35">
      <c r="A295" s="8" t="s">
        <v>303</v>
      </c>
      <c r="B295" s="8" t="s">
        <v>387</v>
      </c>
      <c r="C295" s="8" t="s">
        <v>391</v>
      </c>
      <c r="D295" s="8" t="s">
        <v>397</v>
      </c>
      <c r="E295" s="8" t="s">
        <v>401</v>
      </c>
      <c r="F295" s="10" t="s">
        <v>403</v>
      </c>
      <c r="G295" s="16">
        <v>0</v>
      </c>
      <c r="H295" s="16">
        <v>16</v>
      </c>
    </row>
    <row r="296" spans="1:8" x14ac:dyDescent="0.35">
      <c r="A296" s="8" t="s">
        <v>304</v>
      </c>
      <c r="B296" s="8" t="s">
        <v>386</v>
      </c>
      <c r="C296" s="8" t="s">
        <v>393</v>
      </c>
      <c r="D296" s="8" t="s">
        <v>396</v>
      </c>
      <c r="E296" s="8" t="s">
        <v>399</v>
      </c>
      <c r="F296" s="10" t="s">
        <v>405</v>
      </c>
      <c r="G296" s="16">
        <v>50</v>
      </c>
      <c r="H296" s="16">
        <v>7</v>
      </c>
    </row>
    <row r="297" spans="1:8" x14ac:dyDescent="0.35">
      <c r="A297" s="8" t="s">
        <v>305</v>
      </c>
      <c r="B297" s="8" t="s">
        <v>387</v>
      </c>
      <c r="C297" s="8" t="s">
        <v>392</v>
      </c>
      <c r="D297" s="8" t="s">
        <v>395</v>
      </c>
      <c r="E297" s="8" t="s">
        <v>399</v>
      </c>
      <c r="F297" s="10" t="s">
        <v>405</v>
      </c>
      <c r="G297" s="16">
        <v>20</v>
      </c>
      <c r="H297" s="16">
        <v>14</v>
      </c>
    </row>
    <row r="298" spans="1:8" x14ac:dyDescent="0.35">
      <c r="A298" s="8" t="s">
        <v>306</v>
      </c>
      <c r="B298" s="8" t="s">
        <v>386</v>
      </c>
      <c r="C298" s="8" t="s">
        <v>390</v>
      </c>
      <c r="D298" s="8" t="s">
        <v>397</v>
      </c>
      <c r="E298" s="8" t="s">
        <v>399</v>
      </c>
      <c r="F298" s="10" t="s">
        <v>406</v>
      </c>
      <c r="G298" s="16">
        <v>0</v>
      </c>
      <c r="H298" s="16">
        <v>13</v>
      </c>
    </row>
    <row r="299" spans="1:8" x14ac:dyDescent="0.35">
      <c r="A299" s="8" t="s">
        <v>307</v>
      </c>
      <c r="B299" s="8" t="s">
        <v>387</v>
      </c>
      <c r="C299" s="8" t="s">
        <v>394</v>
      </c>
      <c r="D299" s="8" t="s">
        <v>396</v>
      </c>
      <c r="E299" s="8" t="s">
        <v>399</v>
      </c>
      <c r="F299" s="10" t="s">
        <v>406</v>
      </c>
      <c r="G299" s="16">
        <v>50</v>
      </c>
      <c r="H299" s="16">
        <v>18</v>
      </c>
    </row>
    <row r="300" spans="1:8" x14ac:dyDescent="0.35">
      <c r="A300" s="8" t="s">
        <v>308</v>
      </c>
      <c r="B300" s="8" t="s">
        <v>387</v>
      </c>
      <c r="C300" s="8" t="s">
        <v>392</v>
      </c>
      <c r="D300" s="8" t="s">
        <v>395</v>
      </c>
      <c r="E300" s="8" t="s">
        <v>401</v>
      </c>
      <c r="F300" s="10" t="s">
        <v>403</v>
      </c>
      <c r="G300" s="16">
        <v>20</v>
      </c>
      <c r="H300" s="16">
        <v>10</v>
      </c>
    </row>
    <row r="301" spans="1:8" x14ac:dyDescent="0.35">
      <c r="A301" s="8" t="s">
        <v>309</v>
      </c>
      <c r="B301" s="8" t="s">
        <v>385</v>
      </c>
      <c r="C301" s="8" t="s">
        <v>391</v>
      </c>
      <c r="D301" s="8" t="s">
        <v>395</v>
      </c>
      <c r="E301" s="8" t="s">
        <v>401</v>
      </c>
      <c r="F301" s="10" t="s">
        <v>404</v>
      </c>
      <c r="G301" s="16">
        <v>20</v>
      </c>
      <c r="H301" s="16">
        <v>17</v>
      </c>
    </row>
    <row r="302" spans="1:8" x14ac:dyDescent="0.35">
      <c r="A302" s="8" t="s">
        <v>310</v>
      </c>
      <c r="B302" s="8" t="s">
        <v>388</v>
      </c>
      <c r="C302" s="8" t="s">
        <v>390</v>
      </c>
      <c r="D302" s="8" t="s">
        <v>395</v>
      </c>
      <c r="E302" s="8" t="s">
        <v>398</v>
      </c>
      <c r="F302" s="10" t="s">
        <v>404</v>
      </c>
      <c r="G302" s="16">
        <v>20</v>
      </c>
      <c r="H302" s="16">
        <v>20</v>
      </c>
    </row>
    <row r="303" spans="1:8" x14ac:dyDescent="0.35">
      <c r="A303" s="8" t="s">
        <v>311</v>
      </c>
      <c r="B303" s="8" t="s">
        <v>386</v>
      </c>
      <c r="C303" s="8" t="s">
        <v>391</v>
      </c>
      <c r="D303" s="8" t="s">
        <v>396</v>
      </c>
      <c r="E303" s="8" t="s">
        <v>398</v>
      </c>
      <c r="F303" s="10" t="s">
        <v>406</v>
      </c>
      <c r="G303" s="16">
        <v>50</v>
      </c>
      <c r="H303" s="16">
        <v>4</v>
      </c>
    </row>
    <row r="304" spans="1:8" x14ac:dyDescent="0.35">
      <c r="A304" s="8" t="s">
        <v>312</v>
      </c>
      <c r="B304" s="8" t="s">
        <v>389</v>
      </c>
      <c r="C304" s="8" t="s">
        <v>392</v>
      </c>
      <c r="D304" s="8" t="s">
        <v>396</v>
      </c>
      <c r="E304" s="8" t="s">
        <v>398</v>
      </c>
      <c r="F304" s="10" t="s">
        <v>404</v>
      </c>
      <c r="G304" s="16">
        <v>50</v>
      </c>
      <c r="H304" s="16">
        <v>18</v>
      </c>
    </row>
    <row r="305" spans="1:8" x14ac:dyDescent="0.35">
      <c r="A305" s="8" t="s">
        <v>313</v>
      </c>
      <c r="B305" s="8" t="s">
        <v>388</v>
      </c>
      <c r="C305" s="8" t="s">
        <v>393</v>
      </c>
      <c r="D305" s="8" t="s">
        <v>396</v>
      </c>
      <c r="E305" s="8" t="s">
        <v>400</v>
      </c>
      <c r="F305" s="10" t="s">
        <v>405</v>
      </c>
      <c r="G305" s="16">
        <v>50</v>
      </c>
      <c r="H305" s="16">
        <v>11</v>
      </c>
    </row>
    <row r="306" spans="1:8" x14ac:dyDescent="0.35">
      <c r="A306" s="8" t="s">
        <v>314</v>
      </c>
      <c r="B306" s="8" t="s">
        <v>389</v>
      </c>
      <c r="C306" s="8" t="s">
        <v>393</v>
      </c>
      <c r="D306" s="8" t="s">
        <v>397</v>
      </c>
      <c r="E306" s="8" t="s">
        <v>401</v>
      </c>
      <c r="F306" s="10" t="s">
        <v>405</v>
      </c>
      <c r="G306" s="16">
        <v>0</v>
      </c>
      <c r="H306" s="16">
        <v>3</v>
      </c>
    </row>
    <row r="307" spans="1:8" x14ac:dyDescent="0.35">
      <c r="A307" s="8" t="s">
        <v>315</v>
      </c>
      <c r="B307" s="8" t="s">
        <v>388</v>
      </c>
      <c r="C307" s="8" t="s">
        <v>394</v>
      </c>
      <c r="D307" s="8" t="s">
        <v>395</v>
      </c>
      <c r="E307" s="8" t="s">
        <v>400</v>
      </c>
      <c r="F307" s="10" t="s">
        <v>403</v>
      </c>
      <c r="G307" s="16">
        <v>20</v>
      </c>
      <c r="H307" s="16">
        <v>20</v>
      </c>
    </row>
    <row r="308" spans="1:8" x14ac:dyDescent="0.35">
      <c r="A308" s="8" t="s">
        <v>316</v>
      </c>
      <c r="B308" s="8" t="s">
        <v>389</v>
      </c>
      <c r="C308" s="8" t="s">
        <v>392</v>
      </c>
      <c r="D308" s="8" t="s">
        <v>395</v>
      </c>
      <c r="E308" s="8" t="s">
        <v>400</v>
      </c>
      <c r="F308" s="10" t="s">
        <v>406</v>
      </c>
      <c r="G308" s="16">
        <v>20</v>
      </c>
      <c r="H308" s="16">
        <v>10</v>
      </c>
    </row>
    <row r="309" spans="1:8" x14ac:dyDescent="0.35">
      <c r="A309" s="8" t="s">
        <v>317</v>
      </c>
      <c r="B309" s="8" t="s">
        <v>386</v>
      </c>
      <c r="C309" s="8" t="s">
        <v>393</v>
      </c>
      <c r="D309" s="8" t="s">
        <v>396</v>
      </c>
      <c r="E309" s="8" t="s">
        <v>400</v>
      </c>
      <c r="F309" s="10" t="s">
        <v>402</v>
      </c>
      <c r="G309" s="16">
        <v>50</v>
      </c>
      <c r="H309" s="16">
        <v>13</v>
      </c>
    </row>
    <row r="310" spans="1:8" x14ac:dyDescent="0.35">
      <c r="A310" s="8" t="s">
        <v>318</v>
      </c>
      <c r="B310" s="8" t="s">
        <v>385</v>
      </c>
      <c r="C310" s="8" t="s">
        <v>394</v>
      </c>
      <c r="D310" s="8" t="s">
        <v>395</v>
      </c>
      <c r="E310" s="8" t="s">
        <v>400</v>
      </c>
      <c r="F310" s="10" t="s">
        <v>406</v>
      </c>
      <c r="G310" s="16">
        <v>20</v>
      </c>
      <c r="H310" s="16">
        <v>6</v>
      </c>
    </row>
    <row r="311" spans="1:8" x14ac:dyDescent="0.35">
      <c r="A311" s="8" t="s">
        <v>319</v>
      </c>
      <c r="B311" s="8" t="s">
        <v>389</v>
      </c>
      <c r="C311" s="8" t="s">
        <v>393</v>
      </c>
      <c r="D311" s="8" t="s">
        <v>396</v>
      </c>
      <c r="E311" s="8" t="s">
        <v>400</v>
      </c>
      <c r="F311" s="10" t="s">
        <v>403</v>
      </c>
      <c r="G311" s="16">
        <v>50</v>
      </c>
      <c r="H311" s="16">
        <v>14</v>
      </c>
    </row>
    <row r="312" spans="1:8" x14ac:dyDescent="0.35">
      <c r="A312" s="8" t="s">
        <v>320</v>
      </c>
      <c r="B312" s="8" t="s">
        <v>385</v>
      </c>
      <c r="C312" s="8" t="s">
        <v>394</v>
      </c>
      <c r="D312" s="8" t="s">
        <v>396</v>
      </c>
      <c r="E312" s="8" t="s">
        <v>398</v>
      </c>
      <c r="F312" s="10" t="s">
        <v>404</v>
      </c>
      <c r="G312" s="16">
        <v>50</v>
      </c>
      <c r="H312" s="16">
        <v>4</v>
      </c>
    </row>
    <row r="313" spans="1:8" x14ac:dyDescent="0.35">
      <c r="A313" s="8" t="s">
        <v>321</v>
      </c>
      <c r="B313" s="8" t="s">
        <v>387</v>
      </c>
      <c r="C313" s="8" t="s">
        <v>391</v>
      </c>
      <c r="D313" s="8" t="s">
        <v>396</v>
      </c>
      <c r="E313" s="8" t="s">
        <v>398</v>
      </c>
      <c r="F313" s="10" t="s">
        <v>406</v>
      </c>
      <c r="G313" s="16">
        <v>50</v>
      </c>
      <c r="H313" s="16">
        <v>8</v>
      </c>
    </row>
    <row r="314" spans="1:8" x14ac:dyDescent="0.35">
      <c r="A314" s="8" t="s">
        <v>322</v>
      </c>
      <c r="B314" s="8" t="s">
        <v>386</v>
      </c>
      <c r="C314" s="8" t="s">
        <v>391</v>
      </c>
      <c r="D314" s="8" t="s">
        <v>397</v>
      </c>
      <c r="E314" s="8" t="s">
        <v>398</v>
      </c>
      <c r="F314" s="10" t="s">
        <v>406</v>
      </c>
      <c r="G314" s="16">
        <v>0</v>
      </c>
      <c r="H314" s="16">
        <v>17</v>
      </c>
    </row>
    <row r="315" spans="1:8" x14ac:dyDescent="0.35">
      <c r="A315" s="8" t="s">
        <v>323</v>
      </c>
      <c r="B315" s="8" t="s">
        <v>389</v>
      </c>
      <c r="C315" s="8" t="s">
        <v>394</v>
      </c>
      <c r="D315" s="8" t="s">
        <v>395</v>
      </c>
      <c r="E315" s="8" t="s">
        <v>400</v>
      </c>
      <c r="F315" s="10" t="s">
        <v>405</v>
      </c>
      <c r="G315" s="16">
        <v>20</v>
      </c>
      <c r="H315" s="16">
        <v>4</v>
      </c>
    </row>
    <row r="316" spans="1:8" x14ac:dyDescent="0.35">
      <c r="A316" s="8" t="s">
        <v>324</v>
      </c>
      <c r="B316" s="8" t="s">
        <v>389</v>
      </c>
      <c r="C316" s="8" t="s">
        <v>393</v>
      </c>
      <c r="D316" s="8" t="s">
        <v>395</v>
      </c>
      <c r="E316" s="8" t="s">
        <v>398</v>
      </c>
      <c r="F316" s="10" t="s">
        <v>405</v>
      </c>
      <c r="G316" s="16">
        <v>20</v>
      </c>
      <c r="H316" s="16">
        <v>18</v>
      </c>
    </row>
    <row r="317" spans="1:8" x14ac:dyDescent="0.35">
      <c r="A317" s="8" t="s">
        <v>325</v>
      </c>
      <c r="B317" s="8" t="s">
        <v>385</v>
      </c>
      <c r="C317" s="8" t="s">
        <v>394</v>
      </c>
      <c r="D317" s="8" t="s">
        <v>397</v>
      </c>
      <c r="E317" s="8" t="s">
        <v>400</v>
      </c>
      <c r="F317" s="10" t="s">
        <v>405</v>
      </c>
      <c r="G317" s="16">
        <v>0</v>
      </c>
      <c r="H317" s="16">
        <v>13</v>
      </c>
    </row>
    <row r="318" spans="1:8" x14ac:dyDescent="0.35">
      <c r="A318" s="8" t="s">
        <v>326</v>
      </c>
      <c r="B318" s="8" t="s">
        <v>386</v>
      </c>
      <c r="C318" s="8" t="s">
        <v>391</v>
      </c>
      <c r="D318" s="8" t="s">
        <v>397</v>
      </c>
      <c r="E318" s="8" t="s">
        <v>399</v>
      </c>
      <c r="F318" s="10" t="s">
        <v>406</v>
      </c>
      <c r="G318" s="16">
        <v>0</v>
      </c>
      <c r="H318" s="16">
        <v>15</v>
      </c>
    </row>
    <row r="319" spans="1:8" x14ac:dyDescent="0.35">
      <c r="A319" s="8" t="s">
        <v>327</v>
      </c>
      <c r="B319" s="8" t="s">
        <v>388</v>
      </c>
      <c r="C319" s="8" t="s">
        <v>394</v>
      </c>
      <c r="D319" s="8" t="s">
        <v>396</v>
      </c>
      <c r="E319" s="8" t="s">
        <v>399</v>
      </c>
      <c r="F319" s="10" t="s">
        <v>405</v>
      </c>
      <c r="G319" s="16">
        <v>50</v>
      </c>
      <c r="H319" s="16">
        <v>13</v>
      </c>
    </row>
    <row r="320" spans="1:8" x14ac:dyDescent="0.35">
      <c r="A320" s="8" t="s">
        <v>328</v>
      </c>
      <c r="B320" s="8" t="s">
        <v>388</v>
      </c>
      <c r="C320" s="8" t="s">
        <v>392</v>
      </c>
      <c r="D320" s="8" t="s">
        <v>395</v>
      </c>
      <c r="E320" s="8" t="s">
        <v>400</v>
      </c>
      <c r="F320" s="10" t="s">
        <v>405</v>
      </c>
      <c r="G320" s="16">
        <v>20</v>
      </c>
      <c r="H320" s="16">
        <v>8</v>
      </c>
    </row>
    <row r="321" spans="1:8" x14ac:dyDescent="0.35">
      <c r="A321" s="8" t="s">
        <v>329</v>
      </c>
      <c r="B321" s="8" t="s">
        <v>387</v>
      </c>
      <c r="C321" s="8" t="s">
        <v>393</v>
      </c>
      <c r="D321" s="8" t="s">
        <v>397</v>
      </c>
      <c r="E321" s="8" t="s">
        <v>401</v>
      </c>
      <c r="F321" s="10" t="s">
        <v>402</v>
      </c>
      <c r="G321" s="16">
        <v>0</v>
      </c>
      <c r="H321" s="16">
        <v>20</v>
      </c>
    </row>
    <row r="322" spans="1:8" x14ac:dyDescent="0.35">
      <c r="A322" s="8" t="s">
        <v>330</v>
      </c>
      <c r="B322" s="8" t="s">
        <v>385</v>
      </c>
      <c r="C322" s="8" t="s">
        <v>390</v>
      </c>
      <c r="D322" s="8" t="s">
        <v>395</v>
      </c>
      <c r="E322" s="8" t="s">
        <v>398</v>
      </c>
      <c r="F322" s="10" t="s">
        <v>405</v>
      </c>
      <c r="G322" s="16">
        <v>20</v>
      </c>
      <c r="H322" s="16">
        <v>17</v>
      </c>
    </row>
    <row r="323" spans="1:8" x14ac:dyDescent="0.35">
      <c r="A323" s="8" t="s">
        <v>331</v>
      </c>
      <c r="B323" s="8" t="s">
        <v>387</v>
      </c>
      <c r="C323" s="8" t="s">
        <v>393</v>
      </c>
      <c r="D323" s="8" t="s">
        <v>397</v>
      </c>
      <c r="E323" s="8" t="s">
        <v>399</v>
      </c>
      <c r="F323" s="10" t="s">
        <v>403</v>
      </c>
      <c r="G323" s="16">
        <v>0</v>
      </c>
      <c r="H323" s="16">
        <v>5</v>
      </c>
    </row>
    <row r="324" spans="1:8" x14ac:dyDescent="0.35">
      <c r="A324" s="8" t="s">
        <v>332</v>
      </c>
      <c r="B324" s="8" t="s">
        <v>386</v>
      </c>
      <c r="C324" s="8" t="s">
        <v>393</v>
      </c>
      <c r="D324" s="8" t="s">
        <v>397</v>
      </c>
      <c r="E324" s="8" t="s">
        <v>398</v>
      </c>
      <c r="F324" s="10" t="s">
        <v>402</v>
      </c>
      <c r="G324" s="16">
        <v>0</v>
      </c>
      <c r="H324" s="16">
        <v>12</v>
      </c>
    </row>
    <row r="325" spans="1:8" x14ac:dyDescent="0.35">
      <c r="A325" s="8" t="s">
        <v>333</v>
      </c>
      <c r="B325" s="8" t="s">
        <v>389</v>
      </c>
      <c r="C325" s="8" t="s">
        <v>393</v>
      </c>
      <c r="D325" s="8" t="s">
        <v>397</v>
      </c>
      <c r="E325" s="8" t="s">
        <v>401</v>
      </c>
      <c r="F325" s="10" t="s">
        <v>406</v>
      </c>
      <c r="G325" s="16">
        <v>0</v>
      </c>
      <c r="H325" s="16">
        <v>19</v>
      </c>
    </row>
    <row r="326" spans="1:8" x14ac:dyDescent="0.35">
      <c r="A326" s="8" t="s">
        <v>334</v>
      </c>
      <c r="B326" s="8" t="s">
        <v>385</v>
      </c>
      <c r="C326" s="8" t="s">
        <v>392</v>
      </c>
      <c r="D326" s="8" t="s">
        <v>396</v>
      </c>
      <c r="E326" s="8" t="s">
        <v>398</v>
      </c>
      <c r="F326" s="10" t="s">
        <v>406</v>
      </c>
      <c r="G326" s="16">
        <v>50</v>
      </c>
      <c r="H326" s="16">
        <v>17</v>
      </c>
    </row>
    <row r="327" spans="1:8" x14ac:dyDescent="0.35">
      <c r="A327" s="8" t="s">
        <v>335</v>
      </c>
      <c r="B327" s="8" t="s">
        <v>388</v>
      </c>
      <c r="C327" s="8" t="s">
        <v>391</v>
      </c>
      <c r="D327" s="8" t="s">
        <v>397</v>
      </c>
      <c r="E327" s="8" t="s">
        <v>401</v>
      </c>
      <c r="F327" s="10" t="s">
        <v>402</v>
      </c>
      <c r="G327" s="16">
        <v>0</v>
      </c>
      <c r="H327" s="16">
        <v>3</v>
      </c>
    </row>
    <row r="328" spans="1:8" x14ac:dyDescent="0.35">
      <c r="A328" s="8" t="s">
        <v>336</v>
      </c>
      <c r="B328" s="8" t="s">
        <v>389</v>
      </c>
      <c r="C328" s="8" t="s">
        <v>391</v>
      </c>
      <c r="D328" s="8" t="s">
        <v>397</v>
      </c>
      <c r="E328" s="8" t="s">
        <v>401</v>
      </c>
      <c r="F328" s="10" t="s">
        <v>405</v>
      </c>
      <c r="G328" s="16">
        <v>0</v>
      </c>
      <c r="H328" s="16">
        <v>5</v>
      </c>
    </row>
    <row r="329" spans="1:8" x14ac:dyDescent="0.35">
      <c r="A329" s="8" t="s">
        <v>337</v>
      </c>
      <c r="B329" s="8" t="s">
        <v>388</v>
      </c>
      <c r="C329" s="8" t="s">
        <v>394</v>
      </c>
      <c r="D329" s="8" t="s">
        <v>397</v>
      </c>
      <c r="E329" s="8" t="s">
        <v>398</v>
      </c>
      <c r="F329" s="10" t="s">
        <v>405</v>
      </c>
      <c r="G329" s="16">
        <v>0</v>
      </c>
      <c r="H329" s="16">
        <v>7</v>
      </c>
    </row>
    <row r="330" spans="1:8" x14ac:dyDescent="0.35">
      <c r="A330" s="8" t="s">
        <v>338</v>
      </c>
      <c r="B330" s="8" t="s">
        <v>387</v>
      </c>
      <c r="C330" s="8" t="s">
        <v>394</v>
      </c>
      <c r="D330" s="8" t="s">
        <v>397</v>
      </c>
      <c r="E330" s="8" t="s">
        <v>399</v>
      </c>
      <c r="F330" s="10" t="s">
        <v>406</v>
      </c>
      <c r="G330" s="16">
        <v>0</v>
      </c>
      <c r="H330" s="16">
        <v>19</v>
      </c>
    </row>
    <row r="331" spans="1:8" x14ac:dyDescent="0.35">
      <c r="A331" s="8" t="s">
        <v>339</v>
      </c>
      <c r="B331" s="8" t="s">
        <v>387</v>
      </c>
      <c r="C331" s="8" t="s">
        <v>390</v>
      </c>
      <c r="D331" s="8" t="s">
        <v>395</v>
      </c>
      <c r="E331" s="8" t="s">
        <v>400</v>
      </c>
      <c r="F331" s="10" t="s">
        <v>403</v>
      </c>
      <c r="G331" s="16">
        <v>20</v>
      </c>
      <c r="H331" s="16">
        <v>15</v>
      </c>
    </row>
    <row r="332" spans="1:8" x14ac:dyDescent="0.35">
      <c r="A332" s="8" t="s">
        <v>340</v>
      </c>
      <c r="B332" s="8" t="s">
        <v>386</v>
      </c>
      <c r="C332" s="8" t="s">
        <v>394</v>
      </c>
      <c r="D332" s="8" t="s">
        <v>396</v>
      </c>
      <c r="E332" s="8" t="s">
        <v>400</v>
      </c>
      <c r="F332" s="10" t="s">
        <v>405</v>
      </c>
      <c r="G332" s="16">
        <v>50</v>
      </c>
      <c r="H332" s="16">
        <v>1</v>
      </c>
    </row>
    <row r="333" spans="1:8" x14ac:dyDescent="0.35">
      <c r="A333" s="8" t="s">
        <v>341</v>
      </c>
      <c r="B333" s="8" t="s">
        <v>387</v>
      </c>
      <c r="C333" s="8" t="s">
        <v>394</v>
      </c>
      <c r="D333" s="8" t="s">
        <v>397</v>
      </c>
      <c r="E333" s="8" t="s">
        <v>400</v>
      </c>
      <c r="F333" s="10" t="s">
        <v>406</v>
      </c>
      <c r="G333" s="16">
        <v>0</v>
      </c>
      <c r="H333" s="16">
        <v>12</v>
      </c>
    </row>
    <row r="334" spans="1:8" x14ac:dyDescent="0.35">
      <c r="A334" s="8" t="s">
        <v>342</v>
      </c>
      <c r="B334" s="8" t="s">
        <v>389</v>
      </c>
      <c r="C334" s="8" t="s">
        <v>393</v>
      </c>
      <c r="D334" s="8" t="s">
        <v>395</v>
      </c>
      <c r="E334" s="8" t="s">
        <v>399</v>
      </c>
      <c r="F334" s="10" t="s">
        <v>406</v>
      </c>
      <c r="G334" s="16">
        <v>20</v>
      </c>
      <c r="H334" s="16">
        <v>15</v>
      </c>
    </row>
    <row r="335" spans="1:8" x14ac:dyDescent="0.35">
      <c r="A335" s="8" t="s">
        <v>343</v>
      </c>
      <c r="B335" s="8" t="s">
        <v>386</v>
      </c>
      <c r="C335" s="8" t="s">
        <v>390</v>
      </c>
      <c r="D335" s="8" t="s">
        <v>396</v>
      </c>
      <c r="E335" s="8" t="s">
        <v>398</v>
      </c>
      <c r="F335" s="10" t="s">
        <v>406</v>
      </c>
      <c r="G335" s="16">
        <v>50</v>
      </c>
      <c r="H335" s="16">
        <v>11</v>
      </c>
    </row>
    <row r="336" spans="1:8" x14ac:dyDescent="0.35">
      <c r="A336" s="8" t="s">
        <v>344</v>
      </c>
      <c r="B336" s="8" t="s">
        <v>388</v>
      </c>
      <c r="C336" s="8" t="s">
        <v>390</v>
      </c>
      <c r="D336" s="8" t="s">
        <v>397</v>
      </c>
      <c r="E336" s="8" t="s">
        <v>401</v>
      </c>
      <c r="F336" s="10" t="s">
        <v>405</v>
      </c>
      <c r="G336" s="16">
        <v>0</v>
      </c>
      <c r="H336" s="16">
        <v>8</v>
      </c>
    </row>
    <row r="337" spans="1:8" x14ac:dyDescent="0.35">
      <c r="A337" s="8" t="s">
        <v>345</v>
      </c>
      <c r="B337" s="8" t="s">
        <v>386</v>
      </c>
      <c r="C337" s="8" t="s">
        <v>390</v>
      </c>
      <c r="D337" s="8" t="s">
        <v>396</v>
      </c>
      <c r="E337" s="8" t="s">
        <v>398</v>
      </c>
      <c r="F337" s="10" t="s">
        <v>403</v>
      </c>
      <c r="G337" s="16">
        <v>50</v>
      </c>
      <c r="H337" s="16">
        <v>1</v>
      </c>
    </row>
    <row r="338" spans="1:8" x14ac:dyDescent="0.35">
      <c r="A338" s="8" t="s">
        <v>346</v>
      </c>
      <c r="B338" s="8" t="s">
        <v>387</v>
      </c>
      <c r="C338" s="8" t="s">
        <v>393</v>
      </c>
      <c r="D338" s="8" t="s">
        <v>397</v>
      </c>
      <c r="E338" s="8" t="s">
        <v>399</v>
      </c>
      <c r="F338" s="10" t="s">
        <v>405</v>
      </c>
      <c r="G338" s="16">
        <v>0</v>
      </c>
      <c r="H338" s="16">
        <v>9</v>
      </c>
    </row>
    <row r="339" spans="1:8" x14ac:dyDescent="0.35">
      <c r="A339" s="8" t="s">
        <v>347</v>
      </c>
      <c r="B339" s="8" t="s">
        <v>387</v>
      </c>
      <c r="C339" s="8" t="s">
        <v>391</v>
      </c>
      <c r="D339" s="8" t="s">
        <v>396</v>
      </c>
      <c r="E339" s="8" t="s">
        <v>401</v>
      </c>
      <c r="F339" s="10" t="s">
        <v>403</v>
      </c>
      <c r="G339" s="16">
        <v>50</v>
      </c>
      <c r="H339" s="16">
        <v>18</v>
      </c>
    </row>
    <row r="340" spans="1:8" x14ac:dyDescent="0.35">
      <c r="A340" s="8" t="s">
        <v>348</v>
      </c>
      <c r="B340" s="8" t="s">
        <v>387</v>
      </c>
      <c r="C340" s="8" t="s">
        <v>392</v>
      </c>
      <c r="D340" s="8" t="s">
        <v>396</v>
      </c>
      <c r="E340" s="8" t="s">
        <v>398</v>
      </c>
      <c r="F340" s="10" t="s">
        <v>403</v>
      </c>
      <c r="G340" s="16">
        <v>50</v>
      </c>
      <c r="H340" s="16">
        <v>19</v>
      </c>
    </row>
    <row r="341" spans="1:8" x14ac:dyDescent="0.35">
      <c r="A341" s="8" t="s">
        <v>349</v>
      </c>
      <c r="B341" s="8" t="s">
        <v>387</v>
      </c>
      <c r="C341" s="8" t="s">
        <v>390</v>
      </c>
      <c r="D341" s="8" t="s">
        <v>397</v>
      </c>
      <c r="E341" s="8" t="s">
        <v>400</v>
      </c>
      <c r="F341" s="10" t="s">
        <v>405</v>
      </c>
      <c r="G341" s="16">
        <v>0</v>
      </c>
      <c r="H341" s="16">
        <v>5</v>
      </c>
    </row>
    <row r="342" spans="1:8" x14ac:dyDescent="0.35">
      <c r="A342" s="8" t="s">
        <v>350</v>
      </c>
      <c r="B342" s="8" t="s">
        <v>389</v>
      </c>
      <c r="C342" s="8" t="s">
        <v>394</v>
      </c>
      <c r="D342" s="8" t="s">
        <v>397</v>
      </c>
      <c r="E342" s="8" t="s">
        <v>399</v>
      </c>
      <c r="F342" s="10" t="s">
        <v>405</v>
      </c>
      <c r="G342" s="16">
        <v>0</v>
      </c>
      <c r="H342" s="16">
        <v>2</v>
      </c>
    </row>
    <row r="343" spans="1:8" x14ac:dyDescent="0.35">
      <c r="A343" s="8" t="s">
        <v>351</v>
      </c>
      <c r="B343" s="8" t="s">
        <v>388</v>
      </c>
      <c r="C343" s="8" t="s">
        <v>392</v>
      </c>
      <c r="D343" s="8" t="s">
        <v>396</v>
      </c>
      <c r="E343" s="8" t="s">
        <v>399</v>
      </c>
      <c r="F343" s="10" t="s">
        <v>405</v>
      </c>
      <c r="G343" s="16">
        <v>50</v>
      </c>
      <c r="H343" s="16">
        <v>16</v>
      </c>
    </row>
    <row r="344" spans="1:8" x14ac:dyDescent="0.35">
      <c r="A344" s="8" t="s">
        <v>352</v>
      </c>
      <c r="B344" s="8" t="s">
        <v>388</v>
      </c>
      <c r="C344" s="8" t="s">
        <v>392</v>
      </c>
      <c r="D344" s="8" t="s">
        <v>396</v>
      </c>
      <c r="E344" s="8" t="s">
        <v>400</v>
      </c>
      <c r="F344" s="10" t="s">
        <v>404</v>
      </c>
      <c r="G344" s="16">
        <v>50</v>
      </c>
      <c r="H344" s="16">
        <v>10</v>
      </c>
    </row>
    <row r="345" spans="1:8" x14ac:dyDescent="0.35">
      <c r="A345" s="8" t="s">
        <v>353</v>
      </c>
      <c r="B345" s="8" t="s">
        <v>387</v>
      </c>
      <c r="C345" s="8" t="s">
        <v>391</v>
      </c>
      <c r="D345" s="8" t="s">
        <v>397</v>
      </c>
      <c r="E345" s="8" t="s">
        <v>399</v>
      </c>
      <c r="F345" s="10" t="s">
        <v>402</v>
      </c>
      <c r="G345" s="16">
        <v>0</v>
      </c>
      <c r="H345" s="16">
        <v>6</v>
      </c>
    </row>
    <row r="346" spans="1:8" x14ac:dyDescent="0.35">
      <c r="A346" s="8" t="s">
        <v>354</v>
      </c>
      <c r="B346" s="8" t="s">
        <v>385</v>
      </c>
      <c r="C346" s="8" t="s">
        <v>390</v>
      </c>
      <c r="D346" s="8" t="s">
        <v>395</v>
      </c>
      <c r="E346" s="8" t="s">
        <v>398</v>
      </c>
      <c r="F346" s="10" t="s">
        <v>405</v>
      </c>
      <c r="G346" s="16">
        <v>20</v>
      </c>
      <c r="H346" s="16">
        <v>17</v>
      </c>
    </row>
    <row r="347" spans="1:8" x14ac:dyDescent="0.35">
      <c r="A347" s="8" t="s">
        <v>355</v>
      </c>
      <c r="B347" s="8" t="s">
        <v>387</v>
      </c>
      <c r="C347" s="8" t="s">
        <v>394</v>
      </c>
      <c r="D347" s="8" t="s">
        <v>395</v>
      </c>
      <c r="E347" s="8" t="s">
        <v>399</v>
      </c>
      <c r="F347" s="10" t="s">
        <v>402</v>
      </c>
      <c r="G347" s="16">
        <v>20</v>
      </c>
      <c r="H347" s="16">
        <v>15</v>
      </c>
    </row>
    <row r="348" spans="1:8" x14ac:dyDescent="0.35">
      <c r="A348" s="8" t="s">
        <v>356</v>
      </c>
      <c r="B348" s="8" t="s">
        <v>386</v>
      </c>
      <c r="C348" s="8" t="s">
        <v>390</v>
      </c>
      <c r="D348" s="8" t="s">
        <v>397</v>
      </c>
      <c r="E348" s="8" t="s">
        <v>401</v>
      </c>
      <c r="F348" s="10" t="s">
        <v>405</v>
      </c>
      <c r="G348" s="16">
        <v>0</v>
      </c>
      <c r="H348" s="16">
        <v>19</v>
      </c>
    </row>
    <row r="349" spans="1:8" x14ac:dyDescent="0.35">
      <c r="A349" s="8" t="s">
        <v>357</v>
      </c>
      <c r="B349" s="8" t="s">
        <v>389</v>
      </c>
      <c r="C349" s="8" t="s">
        <v>390</v>
      </c>
      <c r="D349" s="8" t="s">
        <v>397</v>
      </c>
      <c r="E349" s="8" t="s">
        <v>398</v>
      </c>
      <c r="F349" s="10" t="s">
        <v>405</v>
      </c>
      <c r="G349" s="16">
        <v>0</v>
      </c>
      <c r="H349" s="16">
        <v>2</v>
      </c>
    </row>
    <row r="350" spans="1:8" x14ac:dyDescent="0.35">
      <c r="A350" s="8" t="s">
        <v>358</v>
      </c>
      <c r="B350" s="8" t="s">
        <v>388</v>
      </c>
      <c r="C350" s="8" t="s">
        <v>390</v>
      </c>
      <c r="D350" s="8" t="s">
        <v>397</v>
      </c>
      <c r="E350" s="8" t="s">
        <v>401</v>
      </c>
      <c r="F350" s="10" t="s">
        <v>402</v>
      </c>
      <c r="G350" s="16">
        <v>0</v>
      </c>
      <c r="H350" s="16">
        <v>13</v>
      </c>
    </row>
    <row r="351" spans="1:8" x14ac:dyDescent="0.35">
      <c r="A351" s="8" t="s">
        <v>359</v>
      </c>
      <c r="B351" s="8" t="s">
        <v>389</v>
      </c>
      <c r="C351" s="8" t="s">
        <v>390</v>
      </c>
      <c r="D351" s="8" t="s">
        <v>395</v>
      </c>
      <c r="E351" s="8" t="s">
        <v>401</v>
      </c>
      <c r="F351" s="10" t="s">
        <v>404</v>
      </c>
      <c r="G351" s="16">
        <v>20</v>
      </c>
      <c r="H351" s="16">
        <v>19</v>
      </c>
    </row>
    <row r="352" spans="1:8" x14ac:dyDescent="0.35">
      <c r="A352" s="8" t="s">
        <v>360</v>
      </c>
      <c r="B352" s="8" t="s">
        <v>385</v>
      </c>
      <c r="C352" s="8" t="s">
        <v>390</v>
      </c>
      <c r="D352" s="8" t="s">
        <v>395</v>
      </c>
      <c r="E352" s="8" t="s">
        <v>399</v>
      </c>
      <c r="F352" s="10" t="s">
        <v>403</v>
      </c>
      <c r="G352" s="16">
        <v>20</v>
      </c>
      <c r="H352" s="16">
        <v>5</v>
      </c>
    </row>
    <row r="353" spans="1:8" x14ac:dyDescent="0.35">
      <c r="A353" s="8" t="s">
        <v>361</v>
      </c>
      <c r="B353" s="8" t="s">
        <v>389</v>
      </c>
      <c r="C353" s="8" t="s">
        <v>390</v>
      </c>
      <c r="D353" s="8" t="s">
        <v>397</v>
      </c>
      <c r="E353" s="8" t="s">
        <v>400</v>
      </c>
      <c r="F353" s="10" t="s">
        <v>406</v>
      </c>
      <c r="G353" s="16">
        <v>0</v>
      </c>
      <c r="H353" s="16">
        <v>11</v>
      </c>
    </row>
    <row r="354" spans="1:8" x14ac:dyDescent="0.35">
      <c r="A354" s="8" t="s">
        <v>362</v>
      </c>
      <c r="B354" s="8" t="s">
        <v>386</v>
      </c>
      <c r="C354" s="8" t="s">
        <v>394</v>
      </c>
      <c r="D354" s="8" t="s">
        <v>395</v>
      </c>
      <c r="E354" s="8" t="s">
        <v>401</v>
      </c>
      <c r="F354" s="10" t="s">
        <v>404</v>
      </c>
      <c r="G354" s="16">
        <v>20</v>
      </c>
      <c r="H354" s="16">
        <v>19</v>
      </c>
    </row>
    <row r="355" spans="1:8" x14ac:dyDescent="0.35">
      <c r="A355" s="8" t="s">
        <v>363</v>
      </c>
      <c r="B355" s="8" t="s">
        <v>386</v>
      </c>
      <c r="C355" s="8" t="s">
        <v>393</v>
      </c>
      <c r="D355" s="8" t="s">
        <v>396</v>
      </c>
      <c r="E355" s="8" t="s">
        <v>401</v>
      </c>
      <c r="F355" s="10" t="s">
        <v>403</v>
      </c>
      <c r="G355" s="16">
        <v>50</v>
      </c>
      <c r="H355" s="16">
        <v>19</v>
      </c>
    </row>
    <row r="356" spans="1:8" x14ac:dyDescent="0.35">
      <c r="A356" s="8" t="s">
        <v>364</v>
      </c>
      <c r="B356" s="8" t="s">
        <v>388</v>
      </c>
      <c r="C356" s="8" t="s">
        <v>390</v>
      </c>
      <c r="D356" s="8" t="s">
        <v>397</v>
      </c>
      <c r="E356" s="8" t="s">
        <v>401</v>
      </c>
      <c r="F356" s="10" t="s">
        <v>405</v>
      </c>
      <c r="G356" s="16">
        <v>0</v>
      </c>
      <c r="H356" s="16">
        <v>17</v>
      </c>
    </row>
    <row r="357" spans="1:8" x14ac:dyDescent="0.35">
      <c r="A357" s="8" t="s">
        <v>365</v>
      </c>
      <c r="B357" s="8" t="s">
        <v>388</v>
      </c>
      <c r="C357" s="8" t="s">
        <v>394</v>
      </c>
      <c r="D357" s="8" t="s">
        <v>396</v>
      </c>
      <c r="E357" s="8" t="s">
        <v>400</v>
      </c>
      <c r="F357" s="10" t="s">
        <v>404</v>
      </c>
      <c r="G357" s="16">
        <v>50</v>
      </c>
      <c r="H357" s="16">
        <v>9</v>
      </c>
    </row>
    <row r="358" spans="1:8" x14ac:dyDescent="0.35">
      <c r="A358" s="8" t="s">
        <v>366</v>
      </c>
      <c r="B358" s="8" t="s">
        <v>389</v>
      </c>
      <c r="C358" s="8" t="s">
        <v>394</v>
      </c>
      <c r="D358" s="8" t="s">
        <v>396</v>
      </c>
      <c r="E358" s="8" t="s">
        <v>401</v>
      </c>
      <c r="F358" s="10" t="s">
        <v>406</v>
      </c>
      <c r="G358" s="16">
        <v>50</v>
      </c>
      <c r="H358" s="16">
        <v>4</v>
      </c>
    </row>
    <row r="359" spans="1:8" x14ac:dyDescent="0.35">
      <c r="A359" s="8" t="s">
        <v>367</v>
      </c>
      <c r="B359" s="8" t="s">
        <v>389</v>
      </c>
      <c r="C359" s="8" t="s">
        <v>394</v>
      </c>
      <c r="D359" s="8" t="s">
        <v>397</v>
      </c>
      <c r="E359" s="8" t="s">
        <v>399</v>
      </c>
      <c r="F359" s="10" t="s">
        <v>405</v>
      </c>
      <c r="G359" s="16">
        <v>0</v>
      </c>
      <c r="H359" s="16">
        <v>2</v>
      </c>
    </row>
    <row r="360" spans="1:8" x14ac:dyDescent="0.35">
      <c r="A360" s="8" t="s">
        <v>368</v>
      </c>
      <c r="B360" s="8" t="s">
        <v>386</v>
      </c>
      <c r="C360" s="8" t="s">
        <v>391</v>
      </c>
      <c r="D360" s="8" t="s">
        <v>395</v>
      </c>
      <c r="E360" s="8" t="s">
        <v>400</v>
      </c>
      <c r="F360" s="10" t="s">
        <v>402</v>
      </c>
      <c r="G360" s="16">
        <v>20</v>
      </c>
      <c r="H360" s="16">
        <v>10</v>
      </c>
    </row>
    <row r="361" spans="1:8" x14ac:dyDescent="0.35">
      <c r="A361" s="8" t="s">
        <v>369</v>
      </c>
      <c r="B361" s="8" t="s">
        <v>387</v>
      </c>
      <c r="C361" s="8" t="s">
        <v>394</v>
      </c>
      <c r="D361" s="8" t="s">
        <v>397</v>
      </c>
      <c r="E361" s="8" t="s">
        <v>401</v>
      </c>
      <c r="F361" s="10" t="s">
        <v>403</v>
      </c>
      <c r="G361" s="16">
        <v>0</v>
      </c>
      <c r="H361" s="16">
        <v>0</v>
      </c>
    </row>
    <row r="362" spans="1:8" x14ac:dyDescent="0.35">
      <c r="A362" s="8" t="s">
        <v>370</v>
      </c>
      <c r="B362" s="8" t="s">
        <v>388</v>
      </c>
      <c r="C362" s="8" t="s">
        <v>391</v>
      </c>
      <c r="D362" s="8" t="s">
        <v>396</v>
      </c>
      <c r="E362" s="8" t="s">
        <v>399</v>
      </c>
      <c r="F362" s="10" t="s">
        <v>405</v>
      </c>
      <c r="G362" s="16">
        <v>50</v>
      </c>
      <c r="H362" s="16">
        <v>1</v>
      </c>
    </row>
    <row r="363" spans="1:8" x14ac:dyDescent="0.35">
      <c r="A363" s="8" t="s">
        <v>371</v>
      </c>
      <c r="B363" s="8" t="s">
        <v>389</v>
      </c>
      <c r="C363" s="8" t="s">
        <v>393</v>
      </c>
      <c r="D363" s="8" t="s">
        <v>396</v>
      </c>
      <c r="E363" s="8" t="s">
        <v>400</v>
      </c>
      <c r="F363" s="10" t="s">
        <v>403</v>
      </c>
      <c r="G363" s="16">
        <v>50</v>
      </c>
      <c r="H363" s="16">
        <v>17</v>
      </c>
    </row>
    <row r="364" spans="1:8" x14ac:dyDescent="0.35">
      <c r="A364" s="8" t="s">
        <v>372</v>
      </c>
      <c r="B364" s="8" t="s">
        <v>385</v>
      </c>
      <c r="C364" s="8" t="s">
        <v>390</v>
      </c>
      <c r="D364" s="8" t="s">
        <v>396</v>
      </c>
      <c r="E364" s="8" t="s">
        <v>401</v>
      </c>
      <c r="F364" s="10" t="s">
        <v>405</v>
      </c>
      <c r="G364" s="16">
        <v>50</v>
      </c>
      <c r="H364" s="16">
        <v>19</v>
      </c>
    </row>
    <row r="365" spans="1:8" x14ac:dyDescent="0.35">
      <c r="A365" s="8" t="s">
        <v>373</v>
      </c>
      <c r="B365" s="8" t="s">
        <v>385</v>
      </c>
      <c r="C365" s="8" t="s">
        <v>391</v>
      </c>
      <c r="D365" s="8" t="s">
        <v>396</v>
      </c>
      <c r="E365" s="8" t="s">
        <v>401</v>
      </c>
      <c r="F365" s="10" t="s">
        <v>402</v>
      </c>
      <c r="G365" s="16">
        <v>50</v>
      </c>
      <c r="H365" s="16">
        <v>14</v>
      </c>
    </row>
    <row r="366" spans="1:8" x14ac:dyDescent="0.35">
      <c r="A366" s="8" t="s">
        <v>374</v>
      </c>
      <c r="B366" s="8" t="s">
        <v>389</v>
      </c>
      <c r="C366" s="8" t="s">
        <v>390</v>
      </c>
      <c r="D366" s="8" t="s">
        <v>396</v>
      </c>
      <c r="E366" s="8" t="s">
        <v>400</v>
      </c>
      <c r="F366" s="10" t="s">
        <v>402</v>
      </c>
      <c r="G366" s="16">
        <v>50</v>
      </c>
      <c r="H366" s="16">
        <v>1</v>
      </c>
    </row>
    <row r="367" spans="1:8" x14ac:dyDescent="0.35">
      <c r="A367" s="8" t="s">
        <v>375</v>
      </c>
      <c r="B367" s="8" t="s">
        <v>389</v>
      </c>
      <c r="C367" s="8" t="s">
        <v>392</v>
      </c>
      <c r="D367" s="8" t="s">
        <v>396</v>
      </c>
      <c r="E367" s="8" t="s">
        <v>399</v>
      </c>
      <c r="F367" s="10" t="s">
        <v>403</v>
      </c>
      <c r="G367" s="16">
        <v>50</v>
      </c>
      <c r="H367" s="16">
        <v>11</v>
      </c>
    </row>
    <row r="368" spans="1:8" x14ac:dyDescent="0.35">
      <c r="A368" s="8" t="s">
        <v>376</v>
      </c>
      <c r="B368" s="8" t="s">
        <v>386</v>
      </c>
      <c r="C368" s="8" t="s">
        <v>391</v>
      </c>
      <c r="D368" s="8" t="s">
        <v>397</v>
      </c>
      <c r="E368" s="8" t="s">
        <v>398</v>
      </c>
      <c r="F368" s="10" t="s">
        <v>402</v>
      </c>
      <c r="G368" s="16">
        <v>0</v>
      </c>
      <c r="H368" s="16">
        <v>0</v>
      </c>
    </row>
    <row r="369" spans="1:8" x14ac:dyDescent="0.35">
      <c r="A369" s="8" t="s">
        <v>377</v>
      </c>
      <c r="B369" s="8" t="s">
        <v>389</v>
      </c>
      <c r="C369" s="8" t="s">
        <v>394</v>
      </c>
      <c r="D369" s="8" t="s">
        <v>396</v>
      </c>
      <c r="E369" s="8" t="s">
        <v>400</v>
      </c>
      <c r="F369" s="10" t="s">
        <v>406</v>
      </c>
      <c r="G369" s="16">
        <v>50</v>
      </c>
      <c r="H369" s="16">
        <v>5</v>
      </c>
    </row>
    <row r="370" spans="1:8" x14ac:dyDescent="0.35">
      <c r="A370" s="8" t="s">
        <v>378</v>
      </c>
      <c r="B370" s="8" t="s">
        <v>387</v>
      </c>
      <c r="C370" s="8" t="s">
        <v>393</v>
      </c>
      <c r="D370" s="8" t="s">
        <v>396</v>
      </c>
      <c r="E370" s="8" t="s">
        <v>399</v>
      </c>
      <c r="F370" s="10" t="s">
        <v>403</v>
      </c>
      <c r="G370" s="16">
        <v>50</v>
      </c>
      <c r="H370" s="16">
        <v>20</v>
      </c>
    </row>
    <row r="371" spans="1:8" x14ac:dyDescent="0.35">
      <c r="A371" s="8" t="s">
        <v>379</v>
      </c>
      <c r="B371" s="8" t="s">
        <v>386</v>
      </c>
      <c r="C371" s="8" t="s">
        <v>393</v>
      </c>
      <c r="D371" s="8" t="s">
        <v>395</v>
      </c>
      <c r="E371" s="8" t="s">
        <v>400</v>
      </c>
      <c r="F371" s="10" t="s">
        <v>405</v>
      </c>
      <c r="G371" s="16">
        <v>20</v>
      </c>
      <c r="H371" s="16">
        <v>18</v>
      </c>
    </row>
    <row r="372" spans="1:8" x14ac:dyDescent="0.35">
      <c r="A372" s="8" t="s">
        <v>380</v>
      </c>
      <c r="B372" s="8" t="s">
        <v>385</v>
      </c>
      <c r="C372" s="8" t="s">
        <v>391</v>
      </c>
      <c r="D372" s="8" t="s">
        <v>397</v>
      </c>
      <c r="E372" s="8" t="s">
        <v>398</v>
      </c>
      <c r="F372" s="10" t="s">
        <v>403</v>
      </c>
      <c r="G372" s="16">
        <v>0</v>
      </c>
      <c r="H372" s="16">
        <v>2</v>
      </c>
    </row>
    <row r="373" spans="1:8" x14ac:dyDescent="0.35">
      <c r="A373" s="8" t="s">
        <v>381</v>
      </c>
      <c r="B373" s="8" t="s">
        <v>387</v>
      </c>
      <c r="C373" s="8" t="s">
        <v>390</v>
      </c>
      <c r="D373" s="8" t="s">
        <v>397</v>
      </c>
      <c r="E373" s="8" t="s">
        <v>398</v>
      </c>
      <c r="F373" s="10" t="s">
        <v>405</v>
      </c>
      <c r="G373" s="16">
        <v>0</v>
      </c>
      <c r="H373" s="16">
        <v>4</v>
      </c>
    </row>
    <row r="374" spans="1:8" x14ac:dyDescent="0.35">
      <c r="A374" s="8" t="s">
        <v>382</v>
      </c>
      <c r="B374" s="8" t="s">
        <v>386</v>
      </c>
      <c r="C374" s="8" t="s">
        <v>394</v>
      </c>
      <c r="D374" s="8" t="s">
        <v>395</v>
      </c>
      <c r="E374" s="8" t="s">
        <v>400</v>
      </c>
      <c r="F374" s="10" t="s">
        <v>406</v>
      </c>
      <c r="G374" s="16">
        <v>20</v>
      </c>
      <c r="H374" s="16">
        <v>1</v>
      </c>
    </row>
    <row r="375" spans="1:8" x14ac:dyDescent="0.35">
      <c r="A375" s="8" t="s">
        <v>383</v>
      </c>
      <c r="B375" s="8" t="s">
        <v>388</v>
      </c>
      <c r="C375" s="8" t="s">
        <v>391</v>
      </c>
      <c r="D375" s="8" t="s">
        <v>395</v>
      </c>
      <c r="E375" s="8" t="s">
        <v>399</v>
      </c>
      <c r="F375" s="10" t="s">
        <v>402</v>
      </c>
      <c r="G375" s="16">
        <v>20</v>
      </c>
      <c r="H375" s="16">
        <v>2</v>
      </c>
    </row>
    <row r="376" spans="1:8" x14ac:dyDescent="0.35">
      <c r="A376" s="8" t="s">
        <v>384</v>
      </c>
      <c r="B376" s="8" t="s">
        <v>387</v>
      </c>
      <c r="C376" s="8" t="s">
        <v>392</v>
      </c>
      <c r="D376" s="8" t="s">
        <v>397</v>
      </c>
      <c r="E376" s="8" t="s">
        <v>401</v>
      </c>
      <c r="F376" s="10" t="s">
        <v>404</v>
      </c>
      <c r="G376" s="16">
        <v>0</v>
      </c>
      <c r="H376" s="16">
        <v>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A98ED-0450-41FA-A4D4-65D706421DAC}">
  <dimension ref="A1:B9"/>
  <sheetViews>
    <sheetView workbookViewId="0">
      <selection activeCell="C15" sqref="C15"/>
    </sheetView>
  </sheetViews>
  <sheetFormatPr defaultRowHeight="14.5" x14ac:dyDescent="0.35"/>
  <cols>
    <col min="1" max="1" width="13" bestFit="1" customWidth="1"/>
    <col min="2" max="2" width="25.1796875" bestFit="1" customWidth="1"/>
  </cols>
  <sheetData>
    <row r="1" spans="1:2" x14ac:dyDescent="0.35">
      <c r="A1" t="s">
        <v>412</v>
      </c>
    </row>
    <row r="3" spans="1:2" x14ac:dyDescent="0.35">
      <c r="A3" s="2" t="s">
        <v>407</v>
      </c>
      <c r="B3" t="s">
        <v>409</v>
      </c>
    </row>
    <row r="4" spans="1:2" x14ac:dyDescent="0.35">
      <c r="A4" s="3" t="s">
        <v>387</v>
      </c>
      <c r="B4" s="4">
        <v>2070</v>
      </c>
    </row>
    <row r="5" spans="1:2" x14ac:dyDescent="0.35">
      <c r="A5" s="3" t="s">
        <v>389</v>
      </c>
      <c r="B5" s="17">
        <v>1950</v>
      </c>
    </row>
    <row r="6" spans="1:2" x14ac:dyDescent="0.35">
      <c r="A6" s="3" t="s">
        <v>386</v>
      </c>
      <c r="B6">
        <v>1810</v>
      </c>
    </row>
    <row r="7" spans="1:2" x14ac:dyDescent="0.35">
      <c r="A7" s="3" t="s">
        <v>385</v>
      </c>
      <c r="B7">
        <v>1530</v>
      </c>
    </row>
    <row r="8" spans="1:2" x14ac:dyDescent="0.35">
      <c r="A8" s="3" t="s">
        <v>388</v>
      </c>
      <c r="B8">
        <v>1260</v>
      </c>
    </row>
    <row r="9" spans="1:2" x14ac:dyDescent="0.35">
      <c r="A9" s="3" t="s">
        <v>408</v>
      </c>
      <c r="B9">
        <v>8620</v>
      </c>
    </row>
  </sheetData>
  <conditionalFormatting pivot="1" sqref="B4:B8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5960F-BC08-41E9-BB4A-B655D59A3814}">
  <dimension ref="A1:B7"/>
  <sheetViews>
    <sheetView workbookViewId="0">
      <selection activeCell="B15" sqref="B15"/>
    </sheetView>
  </sheetViews>
  <sheetFormatPr defaultRowHeight="14.5" x14ac:dyDescent="0.35"/>
  <cols>
    <col min="1" max="1" width="12.36328125" bestFit="1" customWidth="1"/>
    <col min="2" max="2" width="17.6328125" bestFit="1" customWidth="1"/>
  </cols>
  <sheetData>
    <row r="1" spans="1:2" x14ac:dyDescent="0.35">
      <c r="A1" t="s">
        <v>411</v>
      </c>
    </row>
    <row r="3" spans="1:2" x14ac:dyDescent="0.35">
      <c r="A3" s="2" t="s">
        <v>407</v>
      </c>
      <c r="B3" t="s">
        <v>410</v>
      </c>
    </row>
    <row r="4" spans="1:2" x14ac:dyDescent="0.35">
      <c r="A4" s="3" t="s">
        <v>395</v>
      </c>
      <c r="B4" s="4">
        <v>131</v>
      </c>
    </row>
    <row r="5" spans="1:2" x14ac:dyDescent="0.35">
      <c r="A5" s="3" t="s">
        <v>397</v>
      </c>
      <c r="B5" s="5">
        <v>124</v>
      </c>
    </row>
    <row r="6" spans="1:2" x14ac:dyDescent="0.35">
      <c r="A6" s="3" t="s">
        <v>396</v>
      </c>
      <c r="B6">
        <v>120</v>
      </c>
    </row>
    <row r="7" spans="1:2" x14ac:dyDescent="0.35">
      <c r="A7" s="3" t="s">
        <v>408</v>
      </c>
      <c r="B7">
        <v>375</v>
      </c>
    </row>
  </sheetData>
  <conditionalFormatting pivot="1" sqref="B4:B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{93881384-3272-4F26-AE8A-65C8E8129EA1}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93881384-3272-4F26-AE8A-65C8E8129E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B4:B6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A5545-2075-4727-9CBD-0F037B474955}">
  <dimension ref="A1:B8"/>
  <sheetViews>
    <sheetView workbookViewId="0">
      <selection activeCell="L6" sqref="L6"/>
    </sheetView>
  </sheetViews>
  <sheetFormatPr defaultRowHeight="14.5" x14ac:dyDescent="0.35"/>
  <cols>
    <col min="1" max="1" width="14.1796875" bestFit="1" customWidth="1"/>
    <col min="2" max="2" width="17.6328125" bestFit="1" customWidth="1"/>
  </cols>
  <sheetData>
    <row r="1" spans="1:2" x14ac:dyDescent="0.35">
      <c r="A1" t="s">
        <v>414</v>
      </c>
    </row>
    <row r="3" spans="1:2" x14ac:dyDescent="0.35">
      <c r="A3" s="2" t="s">
        <v>407</v>
      </c>
      <c r="B3" t="s">
        <v>410</v>
      </c>
    </row>
    <row r="4" spans="1:2" x14ac:dyDescent="0.35">
      <c r="A4" s="3" t="s">
        <v>401</v>
      </c>
      <c r="B4" s="4">
        <v>109</v>
      </c>
    </row>
    <row r="5" spans="1:2" x14ac:dyDescent="0.35">
      <c r="A5" s="3" t="s">
        <v>400</v>
      </c>
      <c r="B5" s="17">
        <v>90</v>
      </c>
    </row>
    <row r="6" spans="1:2" x14ac:dyDescent="0.35">
      <c r="A6" s="3" t="s">
        <v>399</v>
      </c>
      <c r="B6">
        <v>88</v>
      </c>
    </row>
    <row r="7" spans="1:2" x14ac:dyDescent="0.35">
      <c r="A7" s="3" t="s">
        <v>398</v>
      </c>
      <c r="B7">
        <v>88</v>
      </c>
    </row>
    <row r="8" spans="1:2" x14ac:dyDescent="0.35">
      <c r="A8" s="3" t="s">
        <v>408</v>
      </c>
      <c r="B8">
        <v>375</v>
      </c>
    </row>
  </sheetData>
  <conditionalFormatting pivot="1" sqref="B4:B7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058EA-51D7-45C2-B2A3-DF5355EFD692}">
  <dimension ref="A1:B9"/>
  <sheetViews>
    <sheetView workbookViewId="0">
      <selection activeCell="B16" sqref="B16"/>
    </sheetView>
  </sheetViews>
  <sheetFormatPr defaultRowHeight="14.5" x14ac:dyDescent="0.35"/>
  <cols>
    <col min="1" max="1" width="12.36328125" bestFit="1" customWidth="1"/>
    <col min="2" max="2" width="28.54296875" bestFit="1" customWidth="1"/>
  </cols>
  <sheetData>
    <row r="1" spans="1:2" x14ac:dyDescent="0.35">
      <c r="A1" t="s">
        <v>415</v>
      </c>
    </row>
    <row r="3" spans="1:2" x14ac:dyDescent="0.35">
      <c r="A3" s="2" t="s">
        <v>407</v>
      </c>
      <c r="B3" t="s">
        <v>413</v>
      </c>
    </row>
    <row r="4" spans="1:2" x14ac:dyDescent="0.35">
      <c r="A4" s="3" t="s">
        <v>406</v>
      </c>
      <c r="B4" s="4">
        <v>977</v>
      </c>
    </row>
    <row r="5" spans="1:2" x14ac:dyDescent="0.35">
      <c r="A5" s="3" t="s">
        <v>405</v>
      </c>
      <c r="B5" s="5">
        <v>805</v>
      </c>
    </row>
    <row r="6" spans="1:2" x14ac:dyDescent="0.35">
      <c r="A6" s="3" t="s">
        <v>403</v>
      </c>
      <c r="B6">
        <v>765</v>
      </c>
    </row>
    <row r="7" spans="1:2" x14ac:dyDescent="0.35">
      <c r="A7" s="3" t="s">
        <v>404</v>
      </c>
      <c r="B7">
        <v>644</v>
      </c>
    </row>
    <row r="8" spans="1:2" x14ac:dyDescent="0.35">
      <c r="A8" s="3" t="s">
        <v>402</v>
      </c>
      <c r="B8">
        <v>552</v>
      </c>
    </row>
    <row r="9" spans="1:2" x14ac:dyDescent="0.35">
      <c r="A9" s="3" t="s">
        <v>408</v>
      </c>
      <c r="B9">
        <v>3743</v>
      </c>
    </row>
  </sheetData>
  <conditionalFormatting pivot="1" sqref="B4:B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{326941A7-E231-4FD7-A31C-CAFC1DB00B92}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326941A7-E231-4FD7-A31C-CAFC1DB00B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B4:B8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A987A-3AEC-4B09-8673-140D68F46063}">
  <dimension ref="A1:C11"/>
  <sheetViews>
    <sheetView workbookViewId="0">
      <selection activeCell="C17" sqref="C17"/>
    </sheetView>
  </sheetViews>
  <sheetFormatPr defaultRowHeight="14.5" x14ac:dyDescent="0.35"/>
  <cols>
    <col min="1" max="1" width="17.6328125" bestFit="1" customWidth="1"/>
    <col min="2" max="2" width="15.26953125" bestFit="1" customWidth="1"/>
    <col min="3" max="3" width="10.7265625" bestFit="1" customWidth="1"/>
    <col min="4" max="4" width="8.453125" bestFit="1" customWidth="1"/>
    <col min="5" max="5" width="10.7265625" bestFit="1" customWidth="1"/>
  </cols>
  <sheetData>
    <row r="1" spans="1:3" x14ac:dyDescent="0.35">
      <c r="A1" t="s">
        <v>427</v>
      </c>
    </row>
    <row r="3" spans="1:3" x14ac:dyDescent="0.35">
      <c r="A3" s="2" t="s">
        <v>410</v>
      </c>
      <c r="B3" s="2" t="s">
        <v>416</v>
      </c>
    </row>
    <row r="4" spans="1:3" x14ac:dyDescent="0.35">
      <c r="A4" s="2" t="s">
        <v>407</v>
      </c>
      <c r="B4" t="s">
        <v>396</v>
      </c>
      <c r="C4" t="s">
        <v>408</v>
      </c>
    </row>
    <row r="5" spans="1:3" x14ac:dyDescent="0.35">
      <c r="A5" s="3" t="s">
        <v>385</v>
      </c>
      <c r="B5">
        <v>1</v>
      </c>
      <c r="C5">
        <v>1</v>
      </c>
    </row>
    <row r="6" spans="1:3" x14ac:dyDescent="0.35">
      <c r="A6" s="3" t="s">
        <v>394</v>
      </c>
      <c r="B6">
        <v>18</v>
      </c>
      <c r="C6">
        <v>18</v>
      </c>
    </row>
    <row r="7" spans="1:3" x14ac:dyDescent="0.35">
      <c r="A7" s="3" t="s">
        <v>391</v>
      </c>
      <c r="B7">
        <v>24</v>
      </c>
      <c r="C7">
        <v>24</v>
      </c>
    </row>
    <row r="8" spans="1:3" x14ac:dyDescent="0.35">
      <c r="A8" s="3" t="s">
        <v>392</v>
      </c>
      <c r="B8">
        <v>24</v>
      </c>
      <c r="C8">
        <v>24</v>
      </c>
    </row>
    <row r="9" spans="1:3" x14ac:dyDescent="0.35">
      <c r="A9" s="3" t="s">
        <v>393</v>
      </c>
      <c r="B9">
        <v>26</v>
      </c>
      <c r="C9">
        <v>26</v>
      </c>
    </row>
    <row r="10" spans="1:3" x14ac:dyDescent="0.35">
      <c r="A10" s="3" t="s">
        <v>390</v>
      </c>
      <c r="B10">
        <v>27</v>
      </c>
      <c r="C10">
        <v>27</v>
      </c>
    </row>
    <row r="11" spans="1:3" x14ac:dyDescent="0.35">
      <c r="A11" s="3" t="s">
        <v>408</v>
      </c>
      <c r="B11">
        <v>120</v>
      </c>
      <c r="C11">
        <v>120</v>
      </c>
    </row>
  </sheetData>
  <conditionalFormatting pivot="1" sqref="B5:C1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{66B1CB7B-D60E-4999-BC24-C314B738C9A3}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66B1CB7B-D60E-4999-BC24-C314B738C9A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B5:C10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Project Overview</vt:lpstr>
      <vt:lpstr>Raw_Data</vt:lpstr>
      <vt:lpstr>Data_Audit</vt:lpstr>
      <vt:lpstr>Cleaned_Data</vt:lpstr>
      <vt:lpstr>Question_1</vt:lpstr>
      <vt:lpstr>Question_2</vt:lpstr>
      <vt:lpstr>Question_3</vt:lpstr>
      <vt:lpstr>Question_4</vt:lpstr>
      <vt:lpstr>Question_5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Smith Ajang Magaji</cp:lastModifiedBy>
  <dcterms:created xsi:type="dcterms:W3CDTF">2025-07-19T22:06:12Z</dcterms:created>
  <dcterms:modified xsi:type="dcterms:W3CDTF">2026-03-15T09:06:23Z</dcterms:modified>
</cp:coreProperties>
</file>